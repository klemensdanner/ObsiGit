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UE04a" sheetId="1" state="visible" r:id="rId1"/>
    <sheet name="UE04b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<sst xmlns="http://schemas.openxmlformats.org/spreadsheetml/2006/main" count="42" uniqueCount="42">
  <si>
    <t>BWL2T2</t>
  </si>
  <si>
    <t xml:space="preserve">UE04 (BAB und Stundensatzkalkulation)</t>
  </si>
  <si>
    <t xml:space="preserve">Kostenverteilung </t>
  </si>
  <si>
    <t>BAB</t>
  </si>
  <si>
    <t>Leistungserstellung</t>
  </si>
  <si>
    <t>Vertrieb</t>
  </si>
  <si>
    <t>Verwaltung</t>
  </si>
  <si>
    <t>1.</t>
  </si>
  <si>
    <t xml:space="preserve">Honorare für Freelancer</t>
  </si>
  <si>
    <t>EK</t>
  </si>
  <si>
    <t>2.</t>
  </si>
  <si>
    <t xml:space="preserve">Gehälter Sekretariat</t>
  </si>
  <si>
    <t>GK</t>
  </si>
  <si>
    <t>3.</t>
  </si>
  <si>
    <t xml:space="preserve">Gehaltsnebenkosten Sekretariat</t>
  </si>
  <si>
    <t>4.</t>
  </si>
  <si>
    <t xml:space="preserve">Gehälter Geschäftsführer</t>
  </si>
  <si>
    <t>5.</t>
  </si>
  <si>
    <t xml:space="preserve">Gehaltsnebenkosten Geschäftsführer</t>
  </si>
  <si>
    <t>6.</t>
  </si>
  <si>
    <t>Miete/Betriebskosten</t>
  </si>
  <si>
    <t>7.</t>
  </si>
  <si>
    <t>Telekommunikation</t>
  </si>
  <si>
    <t>8.</t>
  </si>
  <si>
    <t>Lizenzgebühren</t>
  </si>
  <si>
    <t xml:space="preserve">9. </t>
  </si>
  <si>
    <t xml:space="preserve">Kalk. Abschreibungen</t>
  </si>
  <si>
    <t>10.</t>
  </si>
  <si>
    <t xml:space="preserve">Sonstige Kosten (Reisekosten, Steuern, Gebühren usw.)</t>
  </si>
  <si>
    <t>Zuschlagsbasen</t>
  </si>
  <si>
    <t>Gemeinkosten</t>
  </si>
  <si>
    <t>GK-Zusatzsätze</t>
  </si>
  <si>
    <t>KALK</t>
  </si>
  <si>
    <t xml:space="preserve">Kalkulation einer Leistungseinheit (Stunde)</t>
  </si>
  <si>
    <t xml:space="preserve">Einzelkosten (Freelancer)</t>
  </si>
  <si>
    <t xml:space="preserve">+ LE-Gemeinkosten</t>
  </si>
  <si>
    <t>Herstellkosten</t>
  </si>
  <si>
    <t xml:space="preserve">+ Vertriebsgemeinkosten</t>
  </si>
  <si>
    <t xml:space="preserve">+ Verwaltungsgemeinkosten</t>
  </si>
  <si>
    <t>Selbstkosten</t>
  </si>
  <si>
    <t xml:space="preserve">UE04b (BAB und Stundensatzkalkulation)</t>
  </si>
  <si>
    <t xml:space="preserve">Zusätzliche Gemeinkosten Freelancer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</si>
</sst>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4.000000"/>
      <color theme="1"/>
      <name val="Calibri"/>
      <scheme val="minor"/>
    </font>
    <font>
      <b/>
      <sz val="14.000000"/>
      <name val="Calibri"/>
      <scheme val="minor"/>
    </font>
    <font>
      <b/>
      <sz val="14.000000"/>
      <color theme="1"/>
      <name val="Calibri"/>
      <scheme val="minor"/>
    </font>
    <font>
      <sz val="14.000000"/>
      <name val="Calibri"/>
      <scheme val="minor"/>
    </font>
    <font>
      <sz val="14.000000"/>
      <color theme="2"/>
      <name val="Calibri"/>
      <scheme val="minor"/>
    </font>
    <font>
      <b/>
      <sz val="12.000000"/>
      <name val="Calibri"/>
      <scheme val="minor"/>
    </font>
    <font>
      <sz val="14.000000"/>
      <color theme="6" tint="-0.249977111117893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</patternFill>
    </fill>
    <fill>
      <patternFill patternType="solid">
        <fgColor theme="3" tint="0.59999389629810485"/>
      </patternFill>
    </fill>
    <fill>
      <patternFill patternType="solid">
        <f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/>
    <xf fontId="1" fillId="0" borderId="0" numFmtId="0" xfId="0" applyFont="1"/>
    <xf fontId="2" fillId="0" borderId="0" numFmtId="0" xfId="0" applyFont="1"/>
    <xf fontId="3" fillId="0" borderId="0" numFmtId="0" xfId="0" applyFont="1"/>
    <xf fontId="4" fillId="2" borderId="0" numFmtId="0" xfId="0" applyFont="1" applyFill="1"/>
    <xf fontId="1" fillId="0" borderId="1" numFmtId="0" xfId="0" applyFont="1" applyBorder="1"/>
    <xf fontId="1" fillId="3" borderId="1" numFmtId="3" xfId="0" applyNumberFormat="1" applyFont="1" applyFill="1" applyBorder="1"/>
    <xf fontId="4" fillId="4" borderId="1" numFmtId="3" xfId="0" applyNumberFormat="1" applyFont="1" applyFill="1" applyBorder="1"/>
    <xf fontId="5" fillId="0" borderId="1" numFmtId="0" xfId="0" applyFont="1" applyBorder="1"/>
    <xf fontId="1" fillId="0" borderId="0" numFmtId="3" xfId="0" applyNumberFormat="1" applyFont="1"/>
    <xf fontId="4" fillId="0" borderId="0" numFmtId="3" xfId="0" applyNumberFormat="1" applyFont="1"/>
    <xf fontId="1" fillId="0" borderId="1" numFmtId="3" xfId="0" applyNumberFormat="1" applyFont="1" applyBorder="1"/>
    <xf fontId="4" fillId="0" borderId="1" numFmtId="3" xfId="0" applyNumberFormat="1" applyFont="1" applyBorder="1"/>
    <xf fontId="1" fillId="0" borderId="0" numFmtId="10" xfId="0" applyNumberFormat="1" applyFont="1"/>
    <xf fontId="6" fillId="0" borderId="0" numFmtId="0" xfId="0" applyFont="1"/>
    <xf fontId="4" fillId="0" borderId="0" numFmtId="0" xfId="0" applyFont="1"/>
    <xf fontId="1" fillId="0" borderId="0" numFmtId="4" xfId="0" applyNumberFormat="1" applyFont="1"/>
    <xf fontId="4" fillId="0" borderId="0" numFmtId="0" xfId="0" applyFont="1" quotePrefix="1"/>
    <xf fontId="7" fillId="0" borderId="0" numFmtId="3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4" activeCellId="0" sqref="B14"/>
    </sheetView>
  </sheetViews>
  <sheetFormatPr defaultColWidth="9.109375" defaultRowHeight="14.25"/>
  <cols>
    <col customWidth="1" min="1" max="1" style="1" width="11.44140625"/>
    <col customWidth="1" min="2" max="2" style="1" width="45"/>
    <col customWidth="1" min="3" max="3" style="1" width="13"/>
    <col customWidth="1" min="4" max="4" style="1" width="24.44140625"/>
    <col customWidth="1" min="5" max="5" style="1" width="14.109375"/>
    <col customWidth="1" min="6" max="6" style="1" width="16"/>
    <col min="7" max="9" style="1" width="9.109375"/>
    <col bestFit="1" customWidth="1" min="10" max="10" style="1" width="9.88671875"/>
    <col min="11" max="16384" style="1" width="9.109375"/>
  </cols>
  <sheetData>
    <row r="1" ht="18.75">
      <c r="A1" s="2" t="s">
        <v>0</v>
      </c>
      <c r="B1" s="3" t="s">
        <v>1</v>
      </c>
      <c r="D1" s="1" t="s">
        <v>2</v>
      </c>
    </row>
    <row r="3" ht="18.75">
      <c r="A3" s="4" t="s">
        <v>3</v>
      </c>
      <c r="D3" s="1" t="s">
        <v>4</v>
      </c>
      <c r="E3" s="1" t="s">
        <v>5</v>
      </c>
      <c r="F3" s="1" t="s">
        <v>6</v>
      </c>
    </row>
    <row r="4" ht="18.75">
      <c r="A4" s="5" t="s">
        <v>7</v>
      </c>
      <c r="B4" s="5" t="s">
        <v>8</v>
      </c>
      <c r="C4" s="6">
        <v>320000</v>
      </c>
      <c r="D4" s="7">
        <v>320000</v>
      </c>
      <c r="E4" s="8"/>
      <c r="F4" s="8"/>
      <c r="G4" s="1" t="s">
        <v>9</v>
      </c>
    </row>
    <row r="5" ht="18.75">
      <c r="A5" s="1" t="s">
        <v>10</v>
      </c>
      <c r="B5" s="1" t="s">
        <v>11</v>
      </c>
      <c r="C5" s="9">
        <v>30000</v>
      </c>
      <c r="D5" s="10"/>
      <c r="E5" s="10"/>
      <c r="F5" s="10">
        <v>30000</v>
      </c>
      <c r="G5" s="1" t="s">
        <v>12</v>
      </c>
    </row>
    <row r="6" ht="18.75">
      <c r="A6" s="1" t="s">
        <v>13</v>
      </c>
      <c r="B6" s="1" t="s">
        <v>14</v>
      </c>
      <c r="C6" s="9">
        <v>10000</v>
      </c>
      <c r="D6" s="10"/>
      <c r="E6" s="10"/>
      <c r="F6" s="10">
        <f>C6</f>
        <v>10000</v>
      </c>
      <c r="G6" s="1" t="s">
        <v>12</v>
      </c>
    </row>
    <row r="7" ht="18.75">
      <c r="A7" s="1" t="s">
        <v>15</v>
      </c>
      <c r="B7" s="1" t="s">
        <v>16</v>
      </c>
      <c r="C7" s="9">
        <v>60000</v>
      </c>
      <c r="D7" s="10"/>
      <c r="E7" s="10">
        <f t="shared" ref="E7:E8" si="0">C7*0.75</f>
        <v>45000</v>
      </c>
      <c r="F7" s="10">
        <f t="shared" ref="F7:F8" si="1">C7*0.25</f>
        <v>15000</v>
      </c>
      <c r="G7" s="1" t="s">
        <v>12</v>
      </c>
    </row>
    <row r="8" ht="18.75">
      <c r="A8" s="1" t="s">
        <v>17</v>
      </c>
      <c r="B8" s="1" t="s">
        <v>18</v>
      </c>
      <c r="C8" s="9">
        <v>50000</v>
      </c>
      <c r="D8" s="10"/>
      <c r="E8" s="10">
        <f t="shared" si="0"/>
        <v>37500</v>
      </c>
      <c r="F8" s="10">
        <f t="shared" si="1"/>
        <v>12500</v>
      </c>
      <c r="G8" s="1" t="s">
        <v>12</v>
      </c>
    </row>
    <row r="9" ht="18.75">
      <c r="A9" s="1" t="s">
        <v>19</v>
      </c>
      <c r="B9" s="1" t="s">
        <v>20</v>
      </c>
      <c r="C9" s="9">
        <v>20000</v>
      </c>
      <c r="D9" s="10">
        <v>8000</v>
      </c>
      <c r="E9" s="10">
        <v>8000</v>
      </c>
      <c r="F9" s="10">
        <v>4000</v>
      </c>
      <c r="G9" s="1" t="s">
        <v>12</v>
      </c>
    </row>
    <row r="10" ht="18.75">
      <c r="A10" s="1" t="s">
        <v>21</v>
      </c>
      <c r="B10" s="1" t="s">
        <v>22</v>
      </c>
      <c r="C10" s="9">
        <v>20000</v>
      </c>
      <c r="D10" s="10">
        <v>2000</v>
      </c>
      <c r="E10" s="10">
        <v>14000</v>
      </c>
      <c r="F10" s="10">
        <v>4000</v>
      </c>
      <c r="G10" s="1" t="s">
        <v>12</v>
      </c>
    </row>
    <row r="11" ht="18.75">
      <c r="A11" s="1" t="s">
        <v>23</v>
      </c>
      <c r="B11" s="1" t="s">
        <v>24</v>
      </c>
      <c r="C11" s="9">
        <v>10000</v>
      </c>
      <c r="D11" s="10">
        <v>8000</v>
      </c>
      <c r="E11" s="10">
        <v>1000</v>
      </c>
      <c r="F11" s="10">
        <v>1000</v>
      </c>
      <c r="G11" s="1" t="s">
        <v>12</v>
      </c>
    </row>
    <row r="12" ht="18.75">
      <c r="A12" s="1" t="s">
        <v>25</v>
      </c>
      <c r="B12" s="1" t="s">
        <v>26</v>
      </c>
      <c r="C12" s="9">
        <v>20000</v>
      </c>
      <c r="D12" s="10">
        <v>15000</v>
      </c>
      <c r="E12" s="10">
        <v>2500</v>
      </c>
      <c r="F12" s="10">
        <v>2500</v>
      </c>
      <c r="G12" s="1" t="s">
        <v>12</v>
      </c>
    </row>
    <row r="13" ht="18.75">
      <c r="A13" s="1" t="s">
        <v>27</v>
      </c>
      <c r="B13" s="5" t="s">
        <v>28</v>
      </c>
      <c r="C13" s="11">
        <v>40000</v>
      </c>
      <c r="D13" s="12">
        <v>10000</v>
      </c>
      <c r="E13" s="12">
        <v>25000</v>
      </c>
      <c r="F13" s="12">
        <v>5000</v>
      </c>
      <c r="G13" s="1" t="s">
        <v>12</v>
      </c>
    </row>
    <row r="14" ht="18.75">
      <c r="B14" s="1" t="s">
        <v>29</v>
      </c>
      <c r="C14" s="9">
        <f>C4</f>
        <v>320000</v>
      </c>
      <c r="D14" s="9">
        <f>D4</f>
        <v>320000</v>
      </c>
      <c r="E14" s="9">
        <f>D14+D15</f>
        <v>363000</v>
      </c>
      <c r="F14" s="9">
        <f>D14+D15</f>
        <v>363000</v>
      </c>
    </row>
    <row r="15" ht="18.75">
      <c r="B15" s="1" t="s">
        <v>30</v>
      </c>
      <c r="C15" s="9">
        <f>SUM(C5:C13)</f>
        <v>260000</v>
      </c>
      <c r="D15" s="9">
        <f>SUM(D5:D13)</f>
        <v>43000</v>
      </c>
      <c r="E15" s="9">
        <f>SUM(E5:E13)</f>
        <v>133000</v>
      </c>
      <c r="F15" s="9">
        <f>SUM(F5:F13)</f>
        <v>84000</v>
      </c>
    </row>
    <row r="16" ht="18.75">
      <c r="B16" s="1" t="s">
        <v>31</v>
      </c>
      <c r="C16" s="13">
        <f>C15/C14</f>
        <v>0.8125</v>
      </c>
      <c r="D16" s="13">
        <f>D15/D14</f>
        <v>0.13437499999999999</v>
      </c>
      <c r="E16" s="13">
        <f>E15/E14</f>
        <v>0.36639118457300274</v>
      </c>
      <c r="F16" s="13">
        <f>F15/F14</f>
        <v>0.23140495867768596</v>
      </c>
    </row>
    <row r="18" ht="18.75">
      <c r="A18" s="4" t="s">
        <v>32</v>
      </c>
      <c r="B18" s="14" t="s">
        <v>33</v>
      </c>
    </row>
    <row r="19">
      <c r="B19" s="15"/>
      <c r="E19" s="13"/>
    </row>
    <row r="20" ht="18.75">
      <c r="B20" s="15" t="s">
        <v>34</v>
      </c>
      <c r="C20" s="16">
        <v>40</v>
      </c>
      <c r="F20" s="1"/>
    </row>
    <row r="21" ht="18.75">
      <c r="B21" s="17" t="s">
        <v>35</v>
      </c>
      <c r="C21" s="16">
        <f>C20*D16</f>
        <v>5.375</v>
      </c>
    </row>
    <row r="22" ht="18.75">
      <c r="B22" s="15" t="s">
        <v>36</v>
      </c>
      <c r="C22" s="16">
        <f>SUM(C20:C21)</f>
        <v>45.375</v>
      </c>
    </row>
    <row r="23" ht="18.75">
      <c r="B23" s="17" t="s">
        <v>37</v>
      </c>
      <c r="C23" s="16">
        <f>C22*E16</f>
        <v>16.625</v>
      </c>
    </row>
    <row r="24" ht="18.75">
      <c r="B24" s="17" t="s">
        <v>38</v>
      </c>
      <c r="C24" s="16">
        <f>C22*F16</f>
        <v>10.5</v>
      </c>
    </row>
    <row r="25" ht="18.75">
      <c r="B25" s="2" t="s">
        <v>39</v>
      </c>
      <c r="C25" s="16">
        <f>SUM(C22:C24)</f>
        <v>72.5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9.8515625"/>
    <col bestFit="1" min="2" max="2" width="60.140625"/>
    <col customWidth="1" min="3" max="3" width="14.421875"/>
    <col bestFit="1" min="4" max="4" width="21.36328125"/>
    <col customWidth="1" min="5" max="5" width="16.28125"/>
    <col customWidth="1" min="6" max="6" width="16.00390625"/>
  </cols>
  <sheetData>
    <row r="1" ht="18.75">
      <c r="A1" s="2" t="s">
        <v>0</v>
      </c>
      <c r="B1" s="3" t="s">
        <v>40</v>
      </c>
      <c r="C1" s="1"/>
      <c r="D1" s="1" t="s">
        <v>2</v>
      </c>
      <c r="E1" s="1"/>
      <c r="F1" s="1"/>
      <c r="G1" s="1"/>
    </row>
    <row r="2" ht="18.75">
      <c r="A2" s="1"/>
      <c r="B2" s="1"/>
      <c r="C2" s="1"/>
      <c r="D2" s="1"/>
      <c r="E2" s="1"/>
      <c r="F2" s="1"/>
      <c r="G2" s="1"/>
    </row>
    <row r="3" ht="18.75">
      <c r="A3" s="4" t="s">
        <v>3</v>
      </c>
      <c r="B3" s="1"/>
      <c r="C3" s="1"/>
      <c r="D3" s="1" t="s">
        <v>4</v>
      </c>
      <c r="E3" s="1" t="s">
        <v>5</v>
      </c>
      <c r="F3" s="1" t="s">
        <v>6</v>
      </c>
      <c r="G3" s="1"/>
    </row>
    <row r="4" ht="18.75">
      <c r="A4" s="5" t="s">
        <v>7</v>
      </c>
      <c r="B4" s="5" t="s">
        <v>8</v>
      </c>
      <c r="C4" s="6">
        <v>320000</v>
      </c>
      <c r="D4" s="7">
        <f>320000*0.8</f>
        <v>256000</v>
      </c>
      <c r="E4" s="8"/>
      <c r="F4" s="8"/>
      <c r="G4" s="1" t="s">
        <v>9</v>
      </c>
    </row>
    <row r="5" ht="18.75">
      <c r="B5" t="s">
        <v>41</v>
      </c>
      <c r="C5" s="18">
        <f>320000*0.2</f>
        <v>64000</v>
      </c>
      <c r="D5" s="18">
        <f>320000*0.2</f>
        <v>64000</v>
      </c>
    </row>
    <row r="6" ht="18.75">
      <c r="A6" s="1" t="s">
        <v>10</v>
      </c>
      <c r="B6" s="1" t="s">
        <v>11</v>
      </c>
      <c r="C6" s="9">
        <v>30000</v>
      </c>
      <c r="D6" s="10"/>
      <c r="E6" s="10"/>
      <c r="F6" s="10">
        <v>30000</v>
      </c>
      <c r="G6" s="1" t="s">
        <v>12</v>
      </c>
    </row>
    <row r="7" ht="18.75">
      <c r="A7" s="1" t="s">
        <v>13</v>
      </c>
      <c r="B7" s="1" t="s">
        <v>14</v>
      </c>
      <c r="C7" s="9">
        <v>10000</v>
      </c>
      <c r="D7" s="10"/>
      <c r="E7" s="10"/>
      <c r="F7" s="10">
        <f>C7</f>
        <v>10000</v>
      </c>
      <c r="G7" s="1" t="s">
        <v>12</v>
      </c>
    </row>
    <row r="8" ht="18.75">
      <c r="A8" s="1" t="s">
        <v>15</v>
      </c>
      <c r="B8" s="1" t="s">
        <v>16</v>
      </c>
      <c r="C8" s="9">
        <v>60000</v>
      </c>
      <c r="D8" s="10"/>
      <c r="E8" s="10">
        <f>C8*0.75</f>
        <v>45000</v>
      </c>
      <c r="F8" s="10">
        <f>C8*0.25</f>
        <v>15000</v>
      </c>
      <c r="G8" s="1" t="s">
        <v>12</v>
      </c>
    </row>
    <row r="9" ht="18.75">
      <c r="A9" s="1" t="s">
        <v>17</v>
      </c>
      <c r="B9" s="1" t="s">
        <v>18</v>
      </c>
      <c r="C9" s="9">
        <v>50000</v>
      </c>
      <c r="E9" s="10">
        <f>C9*0.75</f>
        <v>37500</v>
      </c>
      <c r="F9" s="10">
        <f>C9*0.25</f>
        <v>12500</v>
      </c>
      <c r="G9" s="1" t="s">
        <v>12</v>
      </c>
    </row>
    <row r="10" ht="18.75">
      <c r="A10" s="1" t="s">
        <v>19</v>
      </c>
      <c r="B10" s="1" t="s">
        <v>20</v>
      </c>
      <c r="C10" s="9">
        <v>20000</v>
      </c>
      <c r="D10" s="10">
        <v>8000</v>
      </c>
      <c r="E10" s="10">
        <v>8000</v>
      </c>
      <c r="F10" s="10">
        <v>4000</v>
      </c>
      <c r="G10" s="1" t="s">
        <v>12</v>
      </c>
    </row>
    <row r="11" ht="18.75">
      <c r="A11" s="1" t="s">
        <v>21</v>
      </c>
      <c r="B11" s="1" t="s">
        <v>22</v>
      </c>
      <c r="C11" s="9">
        <v>20000</v>
      </c>
      <c r="D11" s="10">
        <v>2000</v>
      </c>
      <c r="E11" s="10">
        <v>14000</v>
      </c>
      <c r="F11" s="10">
        <v>4000</v>
      </c>
      <c r="G11" s="1" t="s">
        <v>12</v>
      </c>
    </row>
    <row r="12" ht="18.75">
      <c r="A12" s="1" t="s">
        <v>23</v>
      </c>
      <c r="B12" s="1" t="s">
        <v>24</v>
      </c>
      <c r="C12" s="9">
        <v>10000</v>
      </c>
      <c r="D12" s="10">
        <v>8000</v>
      </c>
      <c r="E12" s="10">
        <v>1000</v>
      </c>
      <c r="F12" s="10">
        <v>1000</v>
      </c>
      <c r="G12" s="1" t="s">
        <v>12</v>
      </c>
    </row>
    <row r="13" ht="18.75">
      <c r="A13" s="1" t="s">
        <v>25</v>
      </c>
      <c r="B13" s="1" t="s">
        <v>26</v>
      </c>
      <c r="C13" s="9">
        <v>20000</v>
      </c>
      <c r="D13" s="10">
        <v>15000</v>
      </c>
      <c r="E13" s="10">
        <v>2500</v>
      </c>
      <c r="F13" s="10">
        <v>2500</v>
      </c>
      <c r="G13" s="1" t="s">
        <v>12</v>
      </c>
    </row>
    <row r="14" ht="18.75">
      <c r="A14" s="1" t="s">
        <v>27</v>
      </c>
      <c r="B14" s="5" t="s">
        <v>28</v>
      </c>
      <c r="C14" s="11">
        <v>40000</v>
      </c>
      <c r="D14" s="12">
        <v>10000</v>
      </c>
      <c r="E14" s="12">
        <v>25000</v>
      </c>
      <c r="F14" s="12">
        <v>5000</v>
      </c>
      <c r="G14" s="1" t="s">
        <v>12</v>
      </c>
    </row>
    <row r="15" ht="18.75">
      <c r="A15" s="1"/>
      <c r="B15" s="1" t="s">
        <v>29</v>
      </c>
      <c r="C15" s="9">
        <f>C4</f>
        <v>320000</v>
      </c>
      <c r="D15" s="9">
        <f>D4</f>
        <v>256000</v>
      </c>
      <c r="E15" s="9">
        <f>D15+D16</f>
        <v>363000</v>
      </c>
      <c r="F15" s="9">
        <f>D15+D16</f>
        <v>363000</v>
      </c>
      <c r="G15" s="1"/>
    </row>
    <row r="16" ht="18.75">
      <c r="A16" s="1"/>
      <c r="B16" s="1" t="s">
        <v>30</v>
      </c>
      <c r="C16" s="9">
        <f>SUM(C5:C14)</f>
        <v>324000</v>
      </c>
      <c r="D16" s="9">
        <f>SUM(D5:D14)</f>
        <v>107000</v>
      </c>
      <c r="E16" s="9">
        <f>SUM(E5:E14)</f>
        <v>133000</v>
      </c>
      <c r="F16" s="9">
        <f>SUM(F5:F14)</f>
        <v>84000</v>
      </c>
      <c r="G16" s="1"/>
    </row>
    <row r="17" ht="18.75">
      <c r="A17" s="1"/>
      <c r="B17" s="1" t="s">
        <v>31</v>
      </c>
      <c r="C17" s="13">
        <f>C16/C15</f>
        <v>1.0125</v>
      </c>
      <c r="D17" s="13">
        <f>D16/D15</f>
        <v>0.41796875</v>
      </c>
      <c r="E17" s="13">
        <f>E16/E15</f>
        <v>0.36639118457300274</v>
      </c>
      <c r="F17" s="13">
        <f>F16/F15</f>
        <v>0.23140495867768596</v>
      </c>
      <c r="G17" s="1"/>
    </row>
    <row r="18" ht="18.75">
      <c r="A18" s="1"/>
      <c r="B18" s="1"/>
      <c r="C18" s="1"/>
      <c r="D18" s="1"/>
      <c r="E18" s="1"/>
      <c r="F18" s="1"/>
      <c r="G18" s="1"/>
    </row>
    <row r="19" ht="18.75">
      <c r="A19" s="4" t="s">
        <v>32</v>
      </c>
      <c r="B19" s="14" t="s">
        <v>33</v>
      </c>
      <c r="C19" s="1"/>
      <c r="D19" s="1"/>
      <c r="E19" s="1"/>
      <c r="F19" s="1"/>
      <c r="G19" s="1"/>
    </row>
    <row r="20" ht="18.75">
      <c r="A20" s="1"/>
      <c r="B20" s="15"/>
      <c r="C20" s="1"/>
      <c r="D20" s="1"/>
      <c r="E20" s="13"/>
      <c r="F20" s="1"/>
      <c r="G20" s="1"/>
    </row>
    <row r="21" ht="18.75">
      <c r="A21" s="1"/>
      <c r="B21" s="15" t="s">
        <v>34</v>
      </c>
      <c r="C21" s="16">
        <v>40</v>
      </c>
      <c r="D21" s="1"/>
      <c r="E21" s="1"/>
      <c r="F21" s="1"/>
      <c r="G21" s="1"/>
    </row>
    <row r="22" ht="18.75">
      <c r="A22" s="1"/>
      <c r="B22" s="15" t="s">
        <v>35</v>
      </c>
      <c r="C22" s="16">
        <f>C21*D17</f>
        <v>16.71875</v>
      </c>
      <c r="D22" s="1"/>
      <c r="E22" s="1"/>
      <c r="F22" s="1"/>
      <c r="G22" s="1"/>
    </row>
    <row r="23" ht="18.75">
      <c r="A23" s="1"/>
      <c r="B23" s="15" t="s">
        <v>36</v>
      </c>
      <c r="C23" s="16">
        <f>SUM(C21:C22)</f>
        <v>56.71875</v>
      </c>
      <c r="D23" s="1"/>
      <c r="E23" s="1"/>
      <c r="F23" s="1"/>
      <c r="G23" s="1"/>
    </row>
    <row r="24" ht="18.75">
      <c r="A24" s="1"/>
      <c r="B24" s="15" t="s">
        <v>37</v>
      </c>
      <c r="C24" s="16">
        <f>C23*E17</f>
        <v>20.78125</v>
      </c>
      <c r="D24" s="1"/>
      <c r="E24" s="1"/>
      <c r="F24" s="1"/>
      <c r="G24" s="1"/>
    </row>
    <row r="25" ht="18.75">
      <c r="A25" s="1"/>
      <c r="B25" s="15" t="s">
        <v>38</v>
      </c>
      <c r="C25" s="16">
        <f>C23*F17</f>
        <v>13.125</v>
      </c>
      <c r="D25" s="1"/>
      <c r="E25" s="1"/>
      <c r="F25" s="1"/>
      <c r="G25" s="1"/>
    </row>
    <row r="26" ht="18.75">
      <c r="A26" s="1"/>
      <c r="B26" s="2" t="s">
        <v>39</v>
      </c>
      <c r="C26" s="16">
        <f>SUM(C23:C25)</f>
        <v>90.625</v>
      </c>
      <c r="D26" s="1"/>
      <c r="E26" s="1"/>
      <c r="F26" s="1"/>
      <c r="G26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>FH-Hagenberg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P20016</dc:creator>
  <cp:revision>1</cp:revision>
  <dcterms:created xsi:type="dcterms:W3CDTF">2010-05-28T08:52:46Z</dcterms:created>
  <dcterms:modified xsi:type="dcterms:W3CDTF">2026-04-15T07:56:12Z</dcterms:modified>
</cp:coreProperties>
</file>
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UE06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<sst xmlns="http://schemas.openxmlformats.org/spreadsheetml/2006/main" count="29" uniqueCount="29">
  <si>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Material</t>
  </si>
  <si>
    <t xml:space="preserve">Fertigung 1</t>
  </si>
  <si>
    <t xml:space="preserve">Fertigung 2</t>
  </si>
  <si>
    <t>Verwaltung</t>
  </si>
  <si>
    <t>Vertrieb</t>
  </si>
  <si>
    <t xml:space="preserve">Kalkulation eines Stücks</t>
  </si>
  <si>
    <t xml:space="preserve">Material pro Stück</t>
  </si>
  <si>
    <t xml:space="preserve">+ LE-Gemeinkosten</t>
  </si>
  <si>
    <t xml:space="preserve">Fertigungslöhne 1</t>
  </si>
  <si>
    <t xml:space="preserve">Fertigungsgemeinkosten 1</t>
  </si>
  <si>
    <t xml:space="preserve">Fertigungslöhne 2</t>
  </si>
  <si>
    <t xml:space="preserve">Fertigungsgemeinkosten 2</t>
  </si>
  <si>
    <t>Herstellkosten</t>
  </si>
  <si>
    <t xml:space="preserve">+ Vertriebsgemeinkosten</t>
  </si>
  <si>
    <t xml:space="preserve">+ Verwaltungsgemeinkosten</t>
  </si>
  <si>
    <t>Selbstkosten</t>
  </si>
  <si>
    <t xml:space="preserve">Gewinnzuschlag 20%</t>
  </si>
  <si>
    <t xml:space="preserve">Kosten + Gewinnzuschlag</t>
  </si>
  <si>
    <t xml:space="preserve">Kosten+Gewinn für 200 Stück = </t>
  </si>
  <si>
    <t xml:space="preserve">Nachkalkulation (tats. Kosten)</t>
  </si>
  <si>
    <t>Fertigungsmaterialverbrauch</t>
  </si>
  <si>
    <t xml:space="preserve">Fertigung Gemeinkosten</t>
  </si>
  <si>
    <t>VerwaltungsGK</t>
  </si>
  <si>
    <t>VtGK</t>
  </si>
  <si>
    <t xml:space="preserve">Gesamt (HKosten + Verw. + Vertr.)</t>
  </si>
  <si>
    <t xml:space="preserve">Umsatz sollte sein:</t>
  </si>
  <si>
    <t>Ausgaben:</t>
  </si>
  <si>
    <t>Verlust:</t>
  </si>
  <si>
    <t xml:space="preserve">Verlust prozentual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</si>
</sst>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"/>
  </numFmts>
  <fonts count="6">
    <font>
      <sz val="11.000000"/>
      <color theme="1"/>
      <name val="Calibri"/>
      <scheme val="minor"/>
    </font>
    <font>
      <sz val="14.000000"/>
      <color theme="1"/>
      <name val="Calibri"/>
      <scheme val="minor"/>
    </font>
    <font>
      <sz val="14.000000"/>
      <name val="Calibri"/>
      <scheme val="minor"/>
    </font>
    <font>
      <b/>
      <sz val="12.000000"/>
      <name val="Calibri"/>
      <scheme val="minor"/>
    </font>
    <font>
      <b/>
      <sz val="14.000000"/>
      <name val="Calibri"/>
      <scheme val="minor"/>
    </font>
    <font>
      <b/>
      <sz val="14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0" borderId="0" numFmtId="0" xfId="0" applyFont="1"/>
    <xf fontId="2" fillId="0" borderId="1" numFmtId="3" xfId="0" applyNumberFormat="1" applyFont="1" applyBorder="1"/>
    <xf fontId="1" fillId="0" borderId="0" numFmtId="164" xfId="0" applyNumberFormat="1" applyFont="1"/>
    <xf fontId="1" fillId="0" borderId="0" numFmtId="3" xfId="0" applyNumberFormat="1" applyFont="1"/>
    <xf fontId="1" fillId="0" borderId="0" numFmtId="10" xfId="0" applyNumberFormat="1" applyFont="1"/>
    <xf fontId="3" fillId="0" borderId="0" numFmtId="0" xfId="0" applyFont="1"/>
    <xf fontId="2" fillId="0" borderId="0" numFmtId="0" xfId="0" applyFont="1"/>
    <xf fontId="1" fillId="0" borderId="0" numFmtId="165" xfId="0" applyNumberFormat="1" applyFont="1"/>
    <xf fontId="2" fillId="0" borderId="0" numFmtId="0" xfId="0" applyFont="1" quotePrefix="1"/>
    <xf fontId="4" fillId="0" borderId="0" numFmtId="0" xfId="0" applyFont="1"/>
    <xf fontId="5" fillId="0" borderId="0" numFmtId="0" xfId="0" applyFont="1"/>
    <xf fontId="5" fillId="0" borderId="0" numFmtId="165" xfId="0" applyNumberFormat="1" applyFont="1"/>
    <xf fontId="5" fillId="0" borderId="0" numFmtId="16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B14" activeCellId="0" sqref="B14"/>
    </sheetView>
  </sheetViews>
  <sheetFormatPr defaultColWidth="9.109375" defaultRowHeight="14.25"/>
  <cols>
    <col customWidth="1" min="1" max="1" style="1" width="36.7109375"/>
    <col customWidth="1" min="2" max="2" style="1" width="23.140625"/>
    <col customWidth="1" min="3" max="3" style="1" width="16.28125"/>
    <col customWidth="1" min="4" max="4" style="1" width="15.00390625"/>
    <col customWidth="1" min="5" max="5" style="1" width="14.109375"/>
    <col customWidth="1" min="6" max="6" style="1" width="16"/>
    <col customWidth="1" min="7" max="7" style="1" width="15.57421875"/>
    <col customWidth="1" min="8" max="8" style="1" width="12.00390625"/>
    <col min="9" max="9" style="1" width="9.109375"/>
    <col bestFit="1" customWidth="1" min="10" max="10" style="1" width="9.88671875"/>
    <col min="11" max="16384" style="1" width="9.109375"/>
  </cols>
  <sheetData>
    <row r="1" ht="18.75">
      <c r="A1" s="2" t="s">
        <v>0</v>
      </c>
      <c r="B1" s="2" t="s">
        <v>1</v>
      </c>
      <c r="C1" s="2" t="s">
        <v>2</v>
      </c>
      <c r="D1" s="1" t="s">
        <v>3</v>
      </c>
      <c r="E1" s="1"/>
      <c r="F1" s="1"/>
    </row>
    <row r="2" ht="18.75">
      <c r="A2" s="3">
        <v>0.27000000000000002</v>
      </c>
      <c r="B2" s="3">
        <v>2.3999999999999999</v>
      </c>
      <c r="C2" s="3">
        <v>2.7999999999999998</v>
      </c>
      <c r="D2" s="3">
        <v>0.14999999999999999</v>
      </c>
    </row>
    <row r="3" ht="18.75">
      <c r="A3" s="1"/>
      <c r="B3" s="4"/>
      <c r="D3" s="1"/>
      <c r="E3" s="1"/>
      <c r="F3" s="1"/>
    </row>
    <row r="4" ht="18.75">
      <c r="A4" s="1"/>
      <c r="B4" s="4"/>
      <c r="C4" s="4"/>
      <c r="D4" s="1" t="s">
        <v>4</v>
      </c>
      <c r="E4" s="4"/>
      <c r="F4" s="1"/>
      <c r="G4" s="1"/>
    </row>
    <row r="5" ht="18.75">
      <c r="A5" s="1"/>
      <c r="B5" s="5"/>
      <c r="C5" s="5"/>
      <c r="D5" s="3">
        <v>0.17999999999999999</v>
      </c>
      <c r="E5" s="5"/>
      <c r="F5" s="1"/>
      <c r="G5" s="1"/>
    </row>
    <row r="6" ht="18.75">
      <c r="A6" s="1"/>
      <c r="B6" s="1"/>
      <c r="C6" s="1"/>
      <c r="D6" s="1"/>
      <c r="E6" s="1"/>
      <c r="F6" s="1"/>
      <c r="G6" s="1"/>
    </row>
    <row r="7" ht="16.5">
      <c r="A7" s="6" t="s">
        <v>5</v>
      </c>
      <c r="B7" s="1"/>
      <c r="C7" s="1"/>
      <c r="D7" s="1"/>
      <c r="E7" s="1"/>
      <c r="F7" s="1"/>
      <c r="G7" s="1"/>
    </row>
    <row r="8" ht="18.75">
      <c r="A8" s="7"/>
      <c r="B8" s="1"/>
      <c r="C8" s="1"/>
      <c r="D8" s="5"/>
      <c r="E8" s="1"/>
      <c r="F8" s="1"/>
      <c r="G8" s="1"/>
    </row>
    <row r="9" ht="18.75">
      <c r="A9" s="7" t="s">
        <v>6</v>
      </c>
      <c r="B9" s="8">
        <v>920</v>
      </c>
      <c r="C9" s="1"/>
      <c r="D9" s="1"/>
      <c r="E9" s="1"/>
      <c r="F9" s="1"/>
      <c r="G9" s="1"/>
    </row>
    <row r="10" ht="18.75">
      <c r="A10" s="9" t="s">
        <v>7</v>
      </c>
      <c r="B10" s="8">
        <f>B9*A2</f>
        <v>248.40000000000001</v>
      </c>
      <c r="C10" s="1"/>
      <c r="D10" s="1"/>
      <c r="E10" s="1"/>
      <c r="F10" s="1"/>
      <c r="G10" s="1"/>
    </row>
    <row r="11" ht="18.75">
      <c r="A11" s="1" t="s">
        <v>8</v>
      </c>
      <c r="B11" s="8">
        <v>1000</v>
      </c>
      <c r="C11" s="1"/>
      <c r="D11" s="1"/>
      <c r="E11" s="1"/>
      <c r="F11" s="1"/>
      <c r="G11" s="1"/>
    </row>
    <row r="12" ht="18.75">
      <c r="A12" s="1" t="s">
        <v>9</v>
      </c>
      <c r="B12" s="8">
        <f>B11*B2</f>
        <v>2400</v>
      </c>
      <c r="C12" s="1"/>
      <c r="D12" s="1"/>
      <c r="E12" s="1"/>
      <c r="F12" s="1"/>
      <c r="G12" s="1"/>
    </row>
    <row r="13" ht="18.75">
      <c r="A13" s="1" t="s">
        <v>10</v>
      </c>
      <c r="B13" s="8">
        <v>800</v>
      </c>
      <c r="C13" s="1"/>
      <c r="D13" s="1"/>
      <c r="E13" s="1"/>
      <c r="F13" s="1"/>
      <c r="G13" s="1"/>
      <c r="H13" s="1"/>
    </row>
    <row r="14" ht="18.75">
      <c r="A14" s="1" t="s">
        <v>11</v>
      </c>
      <c r="B14" s="8">
        <f>B13*C2</f>
        <v>2240</v>
      </c>
      <c r="C14" s="1"/>
      <c r="D14" s="1"/>
      <c r="E14" s="1"/>
      <c r="F14" s="1"/>
      <c r="G14" s="1"/>
      <c r="H14" s="1"/>
    </row>
    <row r="15" ht="18.75">
      <c r="B15" s="8"/>
      <c r="C15" s="1"/>
      <c r="D15" s="1"/>
      <c r="E15" s="1"/>
      <c r="F15" s="1"/>
    </row>
    <row r="16" ht="18.75">
      <c r="A16" s="7" t="s">
        <v>12</v>
      </c>
      <c r="B16" s="8">
        <f>SUM(B9:B14)</f>
        <v>7608.3999999999996</v>
      </c>
      <c r="C16" s="1"/>
      <c r="D16" s="1"/>
      <c r="E16" s="1"/>
      <c r="F16" s="1"/>
    </row>
    <row r="17" ht="18.75">
      <c r="A17" s="9" t="s">
        <v>13</v>
      </c>
      <c r="B17" s="8">
        <f>B16*D2</f>
        <v>1141.26</v>
      </c>
    </row>
    <row r="18" ht="18.75">
      <c r="A18" s="9" t="s">
        <v>14</v>
      </c>
      <c r="B18" s="8">
        <f>B16*D5</f>
        <v>1369.5119999999999</v>
      </c>
    </row>
    <row r="19" ht="18.75">
      <c r="A19" s="10" t="s">
        <v>15</v>
      </c>
      <c r="B19" s="8">
        <f>SUM(B16:B18)</f>
        <v>10119.172</v>
      </c>
    </row>
    <row r="20" ht="18.75">
      <c r="A20" s="1" t="s">
        <v>16</v>
      </c>
      <c r="B20" s="8">
        <f>B19*0.2</f>
        <v>2023.8344000000002</v>
      </c>
      <c r="C20" s="1"/>
    </row>
    <row r="21" ht="18.75">
      <c r="A21" s="1" t="s">
        <v>17</v>
      </c>
      <c r="B21" s="8">
        <f>B19+B20</f>
        <v>12143.0064</v>
      </c>
      <c r="C21" s="1"/>
    </row>
    <row r="22" ht="18.75">
      <c r="B22" s="8"/>
      <c r="C22" s="1"/>
    </row>
    <row r="23" ht="18.75">
      <c r="B23" s="8"/>
      <c r="C23" s="1"/>
    </row>
    <row r="24" ht="18.75">
      <c r="B24" s="8"/>
      <c r="C24" s="1"/>
    </row>
    <row r="25" ht="18.75">
      <c r="A25" s="11" t="s">
        <v>18</v>
      </c>
      <c r="B25" s="12">
        <f>B21*200</f>
        <v>2428601.2800000003</v>
      </c>
      <c r="C25" s="1"/>
    </row>
    <row r="27" ht="14.25">
      <c r="C27" s="1"/>
    </row>
    <row r="28" ht="14.25">
      <c r="C28" s="1"/>
    </row>
    <row r="29" ht="14.25">
      <c r="C29" s="1"/>
    </row>
    <row r="30" ht="18.75">
      <c r="A30" s="11" t="s">
        <v>19</v>
      </c>
      <c r="C30" s="1"/>
    </row>
    <row r="31" ht="14.25">
      <c r="B31" s="1"/>
      <c r="C31" s="1"/>
    </row>
    <row r="32" ht="18.75">
      <c r="A32" s="7" t="s">
        <v>20</v>
      </c>
      <c r="B32" s="8">
        <v>180000</v>
      </c>
      <c r="C32" s="1"/>
    </row>
    <row r="33" ht="18.75">
      <c r="A33" s="7" t="s">
        <v>21</v>
      </c>
      <c r="B33" s="8">
        <f>B32*C33</f>
        <v>46260</v>
      </c>
      <c r="C33" s="3">
        <v>0.25700000000000001</v>
      </c>
    </row>
    <row r="34" ht="18.75">
      <c r="A34" s="1" t="s">
        <v>8</v>
      </c>
      <c r="B34" s="8">
        <v>368000</v>
      </c>
      <c r="C34" s="3"/>
    </row>
    <row r="35" ht="18.75">
      <c r="A35" s="1" t="s">
        <v>9</v>
      </c>
      <c r="B35" s="8">
        <f>B34*C35</f>
        <v>858912</v>
      </c>
      <c r="C35" s="3">
        <v>2.3340000000000001</v>
      </c>
    </row>
    <row r="36" ht="18.75">
      <c r="A36" s="1" t="s">
        <v>10</v>
      </c>
      <c r="B36" s="8">
        <v>166000</v>
      </c>
      <c r="C36" s="3"/>
    </row>
    <row r="37" ht="18.75">
      <c r="A37" s="1" t="s">
        <v>11</v>
      </c>
      <c r="B37" s="8">
        <f>B36*C37</f>
        <v>477250</v>
      </c>
      <c r="C37" s="3">
        <v>2.875</v>
      </c>
    </row>
    <row r="38" ht="18.75">
      <c r="A38" s="11" t="s">
        <v>12</v>
      </c>
      <c r="B38" s="12">
        <f>SUM(B32:B37)</f>
        <v>2096422</v>
      </c>
      <c r="C38" s="3"/>
    </row>
    <row r="39" ht="14.25">
      <c r="B39" s="8"/>
      <c r="C39" s="3"/>
    </row>
    <row r="40" ht="18.75">
      <c r="A40" s="1" t="s">
        <v>22</v>
      </c>
      <c r="B40" s="8">
        <f>B38*C40</f>
        <v>327041.83199999999</v>
      </c>
      <c r="C40" s="3">
        <v>0.156</v>
      </c>
    </row>
    <row r="41" ht="18.75">
      <c r="A41" s="1" t="s">
        <v>23</v>
      </c>
      <c r="B41" s="8">
        <f>B38*C41</f>
        <v>381548.804</v>
      </c>
      <c r="C41" s="3">
        <v>0.182</v>
      </c>
    </row>
    <row r="42" ht="18.75">
      <c r="A42" s="11" t="s">
        <v>24</v>
      </c>
      <c r="B42" s="12">
        <f>SUM(B38:B41)</f>
        <v>2805012.6359999999</v>
      </c>
      <c r="C42" s="5"/>
    </row>
    <row r="43" ht="14.25">
      <c r="B43" s="8"/>
      <c r="C43" s="1"/>
    </row>
    <row r="44" ht="14.25">
      <c r="B44" s="8"/>
      <c r="C44" s="1"/>
      <c r="D44" s="1"/>
    </row>
    <row r="45" ht="18.75">
      <c r="A45" s="1" t="s">
        <v>25</v>
      </c>
      <c r="B45" s="8">
        <f>B25</f>
        <v>2428601.2800000003</v>
      </c>
      <c r="C45" s="1"/>
    </row>
    <row r="46" ht="18.75">
      <c r="A46" s="1" t="s">
        <v>26</v>
      </c>
      <c r="B46" s="8">
        <f>B42</f>
        <v>2805012.6359999999</v>
      </c>
      <c r="C46" s="1"/>
      <c r="D46" s="1"/>
    </row>
    <row r="47" ht="18.75">
      <c r="A47" s="1" t="s">
        <v>27</v>
      </c>
      <c r="B47" s="8">
        <f>B45-B46</f>
        <v>-376411.35599999968</v>
      </c>
      <c r="C47" s="1"/>
    </row>
    <row r="48" ht="18.75">
      <c r="A48" s="11" t="s">
        <v>28</v>
      </c>
      <c r="B48" s="13">
        <f>B47/B45</f>
        <v>-0.15499100618113798</v>
      </c>
      <c r="C48" s="1"/>
      <c r="D48" s="1"/>
    </row>
    <row r="49" ht="14.25">
      <c r="B49" s="1"/>
      <c r="C49" s="1"/>
    </row>
    <row r="50" ht="14.25">
      <c r="B50" s="1"/>
      <c r="D50" s="1"/>
    </row>
    <row r="51" ht="14.25">
      <c r="B51" s="1"/>
      <c r="C51" s="1"/>
      <c r="D51" s="1"/>
    </row>
    <row r="52" ht="14.25">
      <c r="C52" s="1"/>
    </row>
    <row r="53" ht="14.25">
      <c r="B53" s="1"/>
      <c r="C53" s="1"/>
    </row>
    <row r="56" ht="14.25">
      <c r="B56" s="1"/>
      <c r="C56" s="1"/>
    </row>
    <row r="57" ht="14.25">
      <c r="B57" s="1"/>
      <c r="C57" s="1"/>
    </row>
    <row r="58" ht="14.25">
      <c r="B58" s="1"/>
      <c r="C58" s="1"/>
    </row>
    <row r="59" ht="14.25">
      <c r="B59" s="1"/>
      <c r="C59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78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P20016</dc:creator>
  <cp:revision>2</cp:revision>
  <dcterms:created xsi:type="dcterms:W3CDTF">2010-05-28T08:52:46Z</dcterms:created>
  <dcterms:modified xsi:type="dcterms:W3CDTF">2026-05-03T15:29:28Z</dcterms:modified>
</cp:coreProperties>
</file>
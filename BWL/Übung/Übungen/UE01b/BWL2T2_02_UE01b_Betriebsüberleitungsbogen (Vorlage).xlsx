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UE01b (BÜB)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<sst xmlns="http://schemas.openxmlformats.org/spreadsheetml/2006/main" count="24" uniqueCount="24">
  <si>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 xml:space="preserve">UE01b (Betriebsüberleitungsbogen)</t>
  </si>
  <si>
    <t>KONTO</t>
  </si>
  <si>
    <t>Aufwand</t>
  </si>
  <si>
    <t>Abgrenzung</t>
  </si>
  <si>
    <t>Kosten</t>
  </si>
  <si>
    <t>Anmerkungen</t>
  </si>
  <si>
    <t xml:space="preserve">(Werte in T€)</t>
  </si>
  <si>
    <t>(+)</t>
  </si>
  <si>
    <t>(-)</t>
  </si>
  <si>
    <t>Fertigungsmaterial</t>
  </si>
  <si>
    <t>Personal</t>
  </si>
  <si>
    <t xml:space="preserve">Abschreibungen Gebäude</t>
  </si>
  <si>
    <t xml:space="preserve">Abschreibung auf 4 Jahre</t>
  </si>
  <si>
    <t xml:space="preserve">Abschreibungen Maschinen</t>
  </si>
  <si>
    <t>Werbung</t>
  </si>
  <si>
    <t>Forderungsausfälle</t>
  </si>
  <si>
    <t>Instandhaltung</t>
  </si>
  <si>
    <t xml:space="preserve">nächstes Mal in 6 Jahren</t>
  </si>
  <si>
    <t xml:space="preserve">Rest sonstiger Aufwand</t>
  </si>
  <si>
    <t xml:space="preserve">kein Unterschied</t>
  </si>
  <si>
    <t>Zinsen</t>
  </si>
  <si>
    <t xml:space="preserve">Ich glaub so aber bitte in der Übung nochmal erklären</t>
  </si>
  <si>
    <t xml:space="preserve">Außerordentlicher Aufwand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</si>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</sst>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4"/>
      </patternFill>
    </fill>
    <fill>
      <patternFill patternType="solid">
        <fgColor theme="4" tint="0.79998168889431442"/>
      </patternFill>
    </fill>
    <fill>
      <patternFill patternType="solid">
        <fgColor theme="4" tint="0.59999389629810485"/>
      </patternFill>
    </fill>
  </fills>
  <borders count="8">
    <border>
      <left style="none"/>
      <right style="none"/>
      <top style="none"/>
      <bottom style="none"/>
      <diagonal style="none"/>
    </border>
    <border>
      <left style="medium">
        <color theme="0"/>
      </left>
      <right style="thick">
        <color theme="0"/>
      </right>
      <top style="medium">
        <color theme="0"/>
      </top>
      <bottom style="none"/>
      <diagonal style="none"/>
    </border>
    <border>
      <left style="medium">
        <color theme="0"/>
      </left>
      <right style="none"/>
      <top style="medium">
        <color theme="0"/>
      </top>
      <bottom style="medium">
        <color theme="0"/>
      </bottom>
      <diagonal style="none"/>
    </border>
    <border>
      <left style="none"/>
      <right style="medium">
        <color theme="0"/>
      </right>
      <top style="medium">
        <color theme="0"/>
      </top>
      <bottom style="medium">
        <color theme="0"/>
      </bottom>
      <diagonal style="none"/>
    </border>
    <border>
      <left style="medium">
        <color theme="0"/>
      </left>
      <right style="thick">
        <color theme="0"/>
      </right>
      <top style="none"/>
      <bottom style="thick">
        <color theme="0"/>
      </bottom>
      <diagonal style="none"/>
    </border>
    <border>
      <left style="medium">
        <color theme="0"/>
      </left>
      <right style="none"/>
      <top style="none"/>
      <bottom style="thick">
        <color theme="0"/>
      </bottom>
      <diagonal style="none"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 style="none"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2" borderId="0" numFmtId="0" xfId="0" applyFont="1" applyFill="1"/>
    <xf fontId="1" fillId="3" borderId="1" numFmtId="0" xfId="0" applyFont="1" applyFill="1" applyBorder="1" applyAlignment="1">
      <alignment horizontal="center" vertical="center"/>
    </xf>
    <xf fontId="1" fillId="3" borderId="2" numFmtId="0" xfId="0" applyFont="1" applyFill="1" applyBorder="1" applyAlignment="1">
      <alignment horizontal="center" vertical="center"/>
    </xf>
    <xf fontId="1" fillId="3" borderId="3" numFmtId="0" xfId="0" applyFont="1" applyFill="1" applyBorder="1" applyAlignment="1">
      <alignment horizontal="center" vertical="center"/>
    </xf>
    <xf fontId="1" fillId="3" borderId="4" numFmtId="0" xfId="0" applyFont="1" applyFill="1" applyBorder="1" applyAlignment="1">
      <alignment horizontal="center" vertical="center"/>
    </xf>
    <xf fontId="1" fillId="3" borderId="5" numFmtId="0" xfId="0" applyFont="1" applyFill="1" applyBorder="1" applyAlignment="1">
      <alignment horizontal="center" vertical="center"/>
    </xf>
    <xf fontId="1" fillId="3" borderId="6" numFmtId="0" xfId="0" applyFont="1" applyFill="1" applyBorder="1" applyAlignment="1">
      <alignment horizontal="center" vertical="center"/>
    </xf>
    <xf fontId="2" fillId="4" borderId="0" numFmtId="0" xfId="0" applyFont="1" applyFill="1" applyAlignment="1">
      <alignment vertical="center"/>
    </xf>
    <xf fontId="2" fillId="4" borderId="7" numFmtId="0" xfId="0" applyFont="1" applyFill="1" applyBorder="1"/>
    <xf fontId="2" fillId="5" borderId="7" numFmtId="0" xfId="0" applyFont="1" applyFill="1" applyBorder="1" applyAlignment="1">
      <alignment vertical="center"/>
    </xf>
    <xf fontId="2" fillId="5" borderId="7" numFmtId="0" xfId="0" applyFont="1" applyFill="1" applyBorder="1"/>
    <xf fontId="2" fillId="4" borderId="7" numFmtId="0" xfId="0" applyFont="1" applyFill="1" applyBorder="1" applyAlignment="1">
      <alignment vertical="center"/>
    </xf>
    <xf fontId="3" fillId="0" borderId="0" numFmtId="0" xfId="0" applyFont="1"/>
    <xf fontId="4" fillId="4" borderId="7" numFmtId="0" xfId="0" applyFont="1" applyFill="1" applyBorder="1" applyAlignment="1">
      <alignment vertical="center"/>
    </xf>
    <xf fontId="4" fillId="4" borderId="7" numFmtId="0" xfId="0" applyFont="1" applyFill="1" applyBorder="1"/>
    <xf fontId="0" fillId="0" borderId="0" numFmtId="0" xfId="0" applyAlignment="1">
      <alignment horizontal="left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4" activeCellId="0" sqref="C24"/>
    </sheetView>
  </sheetViews>
  <sheetFormatPr defaultRowHeight="14.25"/>
  <cols>
    <col customWidth="1" min="1" max="1" width="33.7109375"/>
    <col bestFit="1" customWidth="1" min="2" max="2" width="23.453125"/>
    <col customWidth="1" min="3" max="3" width="19.85546875"/>
    <col customWidth="1" min="4" max="4" width="19.28515625"/>
    <col customWidth="1" min="5" max="5" width="19.85546875"/>
    <col bestFit="1" min="6" max="6" width="12.7109375"/>
  </cols>
  <sheetData>
    <row r="1" ht="15.75">
      <c r="A1" s="1" t="s">
        <v>0</v>
      </c>
    </row>
    <row r="2" ht="24.75" customHeight="1">
      <c r="A2" s="2" t="s">
        <v>1</v>
      </c>
      <c r="B2" s="2" t="s">
        <v>2</v>
      </c>
      <c r="C2" s="3" t="s">
        <v>3</v>
      </c>
      <c r="D2" s="4"/>
      <c r="E2" s="2" t="s">
        <v>4</v>
      </c>
      <c r="F2" t="s">
        <v>5</v>
      </c>
    </row>
    <row r="3" ht="23.25" customHeight="1">
      <c r="A3" s="5"/>
      <c r="B3" s="6" t="s">
        <v>6</v>
      </c>
      <c r="C3" s="7" t="s">
        <v>7</v>
      </c>
      <c r="D3" s="7" t="s">
        <v>8</v>
      </c>
      <c r="E3" s="6" t="s">
        <v>6</v>
      </c>
    </row>
    <row r="4" ht="23.25" customHeight="1">
      <c r="A4" s="8" t="s">
        <v>9</v>
      </c>
      <c r="B4" s="9">
        <v>800</v>
      </c>
      <c r="C4" s="9">
        <v>80</v>
      </c>
      <c r="D4" s="9">
        <v>0</v>
      </c>
      <c r="E4" s="9">
        <f>1.1*800</f>
        <v>880.00000000000011</v>
      </c>
    </row>
    <row r="5" ht="23.25" customHeight="1">
      <c r="A5" s="10" t="s">
        <v>10</v>
      </c>
      <c r="B5" s="11">
        <v>300</v>
      </c>
      <c r="C5" s="11">
        <v>80</v>
      </c>
      <c r="D5" s="11">
        <v>0</v>
      </c>
      <c r="E5" s="11">
        <v>380</v>
      </c>
    </row>
    <row r="6" ht="23.25" customHeight="1">
      <c r="A6" s="12" t="s">
        <v>11</v>
      </c>
      <c r="B6" s="9">
        <v>50</v>
      </c>
      <c r="C6" s="9">
        <v>10</v>
      </c>
      <c r="D6" s="9">
        <v>0</v>
      </c>
      <c r="E6" s="9">
        <v>60</v>
      </c>
      <c r="F6" t="s">
        <v>12</v>
      </c>
    </row>
    <row r="7" ht="23.25" customHeight="1">
      <c r="A7" s="10" t="s">
        <v>13</v>
      </c>
      <c r="B7" s="11">
        <v>110</v>
      </c>
      <c r="C7" s="11">
        <v>10</v>
      </c>
      <c r="D7" s="11">
        <v>0</v>
      </c>
      <c r="E7" s="11">
        <v>120</v>
      </c>
    </row>
    <row r="8" ht="23.25" customHeight="1">
      <c r="A8" s="12" t="s">
        <v>14</v>
      </c>
      <c r="B8" s="9">
        <v>30</v>
      </c>
      <c r="C8" s="9">
        <v>0</v>
      </c>
      <c r="D8" s="9">
        <v>0</v>
      </c>
      <c r="E8" s="9">
        <v>30</v>
      </c>
    </row>
    <row r="9" ht="23.25" customHeight="1">
      <c r="A9" s="10" t="s">
        <v>15</v>
      </c>
      <c r="B9" s="11">
        <v>20</v>
      </c>
      <c r="C9" s="11">
        <v>4</v>
      </c>
      <c r="D9" s="11">
        <v>0</v>
      </c>
      <c r="E9" s="11">
        <v>24</v>
      </c>
    </row>
    <row r="10" ht="23.25" customHeight="1">
      <c r="A10" s="12" t="s">
        <v>16</v>
      </c>
      <c r="B10" s="9">
        <v>48</v>
      </c>
      <c r="C10" s="9">
        <v>0</v>
      </c>
      <c r="D10" s="9">
        <f>B10-E10</f>
        <v>40</v>
      </c>
      <c r="E10" s="9">
        <f>B10/6</f>
        <v>8</v>
      </c>
      <c r="F10" t="s">
        <v>17</v>
      </c>
    </row>
    <row r="11" ht="23.25" customHeight="1">
      <c r="A11" s="10" t="s">
        <v>18</v>
      </c>
      <c r="B11" s="11">
        <v>302</v>
      </c>
      <c r="C11" s="11">
        <v>0</v>
      </c>
      <c r="D11" s="11">
        <v>0</v>
      </c>
      <c r="E11" s="11">
        <v>302</v>
      </c>
      <c r="F11" t="s">
        <v>19</v>
      </c>
    </row>
    <row r="12" ht="23.25" customHeight="1">
      <c r="A12" s="12" t="s">
        <v>20</v>
      </c>
      <c r="B12" s="9">
        <v>422</v>
      </c>
      <c r="C12" s="9">
        <v>960</v>
      </c>
      <c r="D12" s="9">
        <v>422</v>
      </c>
      <c r="E12" s="9">
        <f>12000*0.08</f>
        <v>960</v>
      </c>
      <c r="F12" t="s">
        <v>21</v>
      </c>
    </row>
    <row r="13" ht="23.25" customHeight="1">
      <c r="A13" s="10" t="s">
        <v>22</v>
      </c>
      <c r="B13" s="11">
        <v>4</v>
      </c>
      <c r="C13" s="11">
        <v>0</v>
      </c>
      <c r="D13" s="11">
        <v>4</v>
      </c>
      <c r="E13" s="11">
        <v>0</v>
      </c>
    </row>
    <row r="14" s="13" customFormat="1" ht="23.25" customHeight="1">
      <c r="A14" s="14" t="s">
        <v>23</v>
      </c>
      <c r="B14" s="15">
        <f>SUM(B4:B13)</f>
        <v>2086</v>
      </c>
      <c r="C14" s="15"/>
      <c r="D14" s="15"/>
      <c r="E14" s="15">
        <f>SUM(E4:E13)</f>
        <v>2764</v>
      </c>
    </row>
    <row r="15" ht="15.75"/>
    <row r="28" ht="14.25">
      <c r="B28" s="16"/>
    </row>
    <row r="47" ht="14.25">
      <c r="B47" s="17"/>
    </row>
    <row r="52" ht="14.25">
      <c r="B52" s="16"/>
    </row>
    <row r="63" ht="14.25">
      <c r="B63" s="17"/>
      <c r="C63" s="17"/>
    </row>
  </sheetData>
  <mergeCells count="2">
    <mergeCell ref="A2:A3"/>
    <mergeCell ref="C2:D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2</cp:revision>
  <dcterms:created xsi:type="dcterms:W3CDTF">2022-02-04T08:56:30Z</dcterms:created>
  <dcterms:modified xsi:type="dcterms:W3CDTF">2026-03-15T19:36:25Z</dcterms:modified>
</cp:coreProperties>
</file>
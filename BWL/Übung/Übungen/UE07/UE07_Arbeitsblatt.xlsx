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7.1" sheetId="1" state="visible" r:id="rId1"/>
    <sheet name="7.2" sheetId="2" state="visible" r:id="rId2"/>
    <sheet name="7.3" sheetId="3" state="visible" r:id="rId3"/>
    <sheet name="7.7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<sst xmlns="http://schemas.openxmlformats.org/spreadsheetml/2006/main" count="84" uniqueCount="84">
  <si>
    <t>Produkt</t>
  </si>
  <si>
    <t>Einheiten</t>
  </si>
  <si>
    <t xml:space="preserve">Preis pro Einheit</t>
  </si>
  <si>
    <t xml:space="preserve">Variable Kosten gesamt</t>
  </si>
  <si>
    <t xml:space="preserve">var Kosten /Einheit</t>
  </si>
  <si>
    <t xml:space="preserve">Deckungsbeitrag pro Einheit</t>
  </si>
  <si>
    <t xml:space="preserve">Deckungsbeitrag (DB)</t>
  </si>
  <si>
    <t>A</t>
  </si>
  <si>
    <t>B</t>
  </si>
  <si>
    <t>C</t>
  </si>
  <si>
    <t>D</t>
  </si>
  <si>
    <t xml:space="preserve">db pro einheit, dann skalieren, dann fixkosten abziehen</t>
  </si>
  <si>
    <t>Betriebsergebnis</t>
  </si>
  <si>
    <t xml:space="preserve">270*5000 + Fixkosten = 450 * 5000</t>
  </si>
  <si>
    <t>a)</t>
  </si>
  <si>
    <t xml:space="preserve">Fixkosten = </t>
  </si>
  <si>
    <t>b)</t>
  </si>
  <si>
    <t xml:space="preserve">Gewinn = </t>
  </si>
  <si>
    <t>(450-270)*x</t>
  </si>
  <si>
    <t>-</t>
  </si>
  <si>
    <t>Fixkosten</t>
  </si>
  <si>
    <t xml:space="preserve">Aufgabe 7.3</t>
  </si>
  <si>
    <t>Verkaufspreis</t>
  </si>
  <si>
    <t xml:space="preserve">Stückkosten (zu Vollkosten)</t>
  </si>
  <si>
    <t xml:space="preserve">Variable Stückkosten</t>
  </si>
  <si>
    <t xml:space="preserve">Geplante Absatzmenge 20xx</t>
  </si>
  <si>
    <t>Fertigungszeit</t>
  </si>
  <si>
    <t xml:space="preserve">Kapazität bei Normalarbeitszeit</t>
  </si>
  <si>
    <t>Nebenrechnungen:</t>
  </si>
  <si>
    <t xml:space="preserve">Deckungsbeitrag / stück</t>
  </si>
  <si>
    <t xml:space="preserve">Kapazität pro Jahr (h)</t>
  </si>
  <si>
    <t xml:space="preserve">Kapazität pro Jahr (min)</t>
  </si>
  <si>
    <t xml:space="preserve">max. Produktionsmenge pro Jahr</t>
  </si>
  <si>
    <t>Berechnung</t>
  </si>
  <si>
    <t>Ergebnis</t>
  </si>
  <si>
    <t xml:space="preserve">a) Break-Even-Menge</t>
  </si>
  <si>
    <t xml:space="preserve">Fixkosten / Deckungsbeitrag</t>
  </si>
  <si>
    <t xml:space="preserve">b) Deckungsumsatz (Umsatz am BEP)</t>
  </si>
  <si>
    <t xml:space="preserve">Break-Even-Menge * Verkaufspreis</t>
  </si>
  <si>
    <t xml:space="preserve">c) Kapazitätsauslastung bei Kostendeckung</t>
  </si>
  <si>
    <t xml:space="preserve">Break-Even-Menge / max. Produktionsmenge</t>
  </si>
  <si>
    <t xml:space="preserve">d) Gewinn bei Planabsatzmenge</t>
  </si>
  <si>
    <t xml:space="preserve">(Planabsatzmenge * db - Fixkosten)</t>
  </si>
  <si>
    <t xml:space="preserve">e) geplanter Umsatz</t>
  </si>
  <si>
    <t xml:space="preserve">Planabsatzmenge * Verkaufspreis</t>
  </si>
  <si>
    <t xml:space="preserve">e) Umsatzrentabilität bei Planabsatzmenge</t>
  </si>
  <si>
    <t xml:space="preserve">Plangewinn / Planumsatz</t>
  </si>
  <si>
    <t xml:space="preserve">f)  Gewinn bei Preisnachlass von Ums.rent.:</t>
  </si>
  <si>
    <t xml:space="preserve">Verkaufsmenge: Planabsatzmenge</t>
  </si>
  <si>
    <t xml:space="preserve">neuer Preis:</t>
  </si>
  <si>
    <t xml:space="preserve">Verkaufspreis * (1-Umsatzrent)</t>
  </si>
  <si>
    <t xml:space="preserve">neuer Umsatz:</t>
  </si>
  <si>
    <t xml:space="preserve">neuerPreis * Planabsatzmenge</t>
  </si>
  <si>
    <t xml:space="preserve">neuer Deckungsbeitrag</t>
  </si>
  <si>
    <t xml:space="preserve">neuerPreis - varKosten</t>
  </si>
  <si>
    <t xml:space="preserve">neuer Gewinn</t>
  </si>
  <si>
    <t xml:space="preserve">Planmenge*neuDB - Fixkosten</t>
  </si>
  <si>
    <t xml:space="preserve">g) verkraftbarer Anstieg der variablen Kosten</t>
  </si>
  <si>
    <t xml:space="preserve">a = PlanabsMeng * preis - Fixkosten</t>
  </si>
  <si>
    <t xml:space="preserve">verkraftbarer Anstieg auf C34 ohne Verlust</t>
  </si>
  <si>
    <t xml:space="preserve">a / PlanabsMeng</t>
  </si>
  <si>
    <t>Erlöse/Stk</t>
  </si>
  <si>
    <t>var.Kost/Stück</t>
  </si>
  <si>
    <t xml:space="preserve">Fertigungszeit/Stück (min)</t>
  </si>
  <si>
    <t>db/Stück</t>
  </si>
  <si>
    <t>db/min</t>
  </si>
  <si>
    <t>A1</t>
  </si>
  <si>
    <t>A2</t>
  </si>
  <si>
    <t>A3</t>
  </si>
  <si>
    <t xml:space="preserve">D.h. Reihenfolge:</t>
  </si>
  <si>
    <t>1.</t>
  </si>
  <si>
    <t>2.</t>
  </si>
  <si>
    <t>3.</t>
  </si>
  <si>
    <t xml:space="preserve">120 Stück A1 müssen jedoch aufgrund des Vertrages produziert werden.</t>
  </si>
  <si>
    <t xml:space="preserve">prod. Stück</t>
  </si>
  <si>
    <t xml:space="preserve">verwendete Zeit (h)</t>
  </si>
  <si>
    <t xml:space="preserve">db gesamt: db/stück * prod.Stück</t>
  </si>
  <si>
    <t xml:space="preserve">db Gesamt:</t>
  </si>
  <si>
    <t xml:space="preserve">optimale Verteilung wäre:</t>
  </si>
  <si>
    <t xml:space="preserve">db Gesamt</t>
  </si>
  <si>
    <t xml:space="preserve">dbGesamt1 (Aufgabe b)</t>
  </si>
  <si>
    <t xml:space="preserve">dbGesamt0 (Aufgabe a)</t>
  </si>
  <si>
    <t>Differenz:</t>
  </si>
  <si>
    <t xml:space="preserve">Strafe dürfte also 2400€ sein.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</si>
</sst>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.00\ [$€-407]"/>
  </numFmts>
  <fonts count="7">
    <font>
      <sz val="11.000000"/>
      <color theme="1"/>
      <name val="Calibri"/>
      <scheme val="minor"/>
    </font>
    <font>
      <sz val="11.000000"/>
      <color theme="1"/>
      <name val="Calibri"/>
    </font>
    <font>
      <b/>
      <sz val="14.000000"/>
      <color theme="1"/>
      <name val="Calibri"/>
    </font>
    <font>
      <color theme="1"/>
      <name val="Calibri"/>
    </font>
    <font>
      <sz val="11.000000"/>
      <name val="Calibri"/>
    </font>
    <font>
      <b/>
      <sz val="11.000000"/>
      <name val="Calibri"/>
    </font>
    <font>
      <b/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0" borderId="0" numFmtId="0" xfId="0" applyAlignment="1">
      <alignment horizontal="left"/>
    </xf>
    <xf fontId="0" fillId="0" borderId="0" numFmtId="1" xfId="0" applyNumberFormat="1"/>
    <xf fontId="0" fillId="0" borderId="0" numFmtId="164" xfId="0" applyNumberFormat="1"/>
    <xf fontId="1" fillId="0" borderId="0" numFmtId="0" xfId="0" applyFont="1"/>
    <xf fontId="2" fillId="0" borderId="0" numFmtId="0" xfId="0" applyFont="1"/>
    <xf fontId="0" fillId="0" borderId="0" numFmtId="0" xfId="0">
      <protection hidden="0" locked="1"/>
    </xf>
    <xf fontId="3" fillId="0" borderId="0" numFmtId="0" xfId="0" applyFont="1"/>
    <xf fontId="3" fillId="0" borderId="0" numFmtId="165" xfId="0" applyNumberFormat="1" applyFont="1"/>
    <xf fontId="4" fillId="0" borderId="0" numFmtId="0" xfId="0" applyFont="1"/>
    <xf fontId="3" fillId="0" borderId="0" numFmtId="2" xfId="0" applyNumberFormat="1" applyFont="1"/>
    <xf fontId="5" fillId="0" borderId="0" numFmtId="0" xfId="0" applyFont="1"/>
    <xf fontId="3" fillId="0" borderId="0" numFmtId="10" xfId="0" applyNumberFormat="1" applyFont="1"/>
    <xf fontId="0" fillId="0" borderId="0" numFmtId="165" xfId="0" applyNumberFormat="1">
      <protection hidden="0" locked="1"/>
    </xf>
    <xf fontId="4" fillId="0" borderId="0" numFmtId="165" xfId="0" applyNumberFormat="1" applyFont="1"/>
    <xf fontId="0" fillId="0" borderId="0" numFmtId="2" xfId="0" applyNumberFormat="1">
      <protection hidden="0" locked="1"/>
    </xf>
    <xf fontId="6" fillId="0" borderId="0" numFmtId="0" xfId="0" applyFont="1"/>
    <xf fontId="0" fillId="0" borderId="0" numFmtId="165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592058</xdr:colOff>
      <xdr:row>0</xdr:row>
      <xdr:rowOff>167639</xdr:rowOff>
    </xdr:from>
    <xdr:ext cx="3151265" cy="1689733"/>
    <xdr:pic>
      <xdr:nvPicPr>
        <xdr:cNvPr id="1828788549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592058" y="167639"/>
          <a:ext cx="3151265" cy="1689734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609599</xdr:colOff>
      <xdr:row>2</xdr:row>
      <xdr:rowOff>51433</xdr:rowOff>
    </xdr:from>
    <xdr:ext cx="3921732" cy="1283967"/>
    <xdr:pic>
      <xdr:nvPicPr>
        <xdr:cNvPr id="1682100589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609599" y="401954"/>
          <a:ext cx="3921732" cy="1283968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A1" activeCellId="0" sqref="A1"/>
    </sheetView>
  </sheetViews>
  <sheetFormatPr defaultRowHeight="14.25"/>
  <cols>
    <col bestFit="1" min="2" max="2" width="7.453125"/>
    <col bestFit="1" min="3" max="3" width="16.7734375"/>
    <col bestFit="1" min="4" max="4" width="24.54296875"/>
    <col bestFit="1" min="5" max="5" width="20.6015625"/>
    <col bestFit="1" min="6" max="6" width="16.7734375"/>
    <col bestFit="1" min="7" max="7" width="24.54296875"/>
    <col bestFit="1" min="8" max="8" width="19.05078125"/>
  </cols>
  <sheetData>
    <row r="1" ht="14.25">
      <c r="A1" s="1"/>
    </row>
    <row r="14" ht="14.25">
      <c r="B14" t="s">
        <v>0</v>
      </c>
      <c r="C14" t="s">
        <v>1</v>
      </c>
      <c r="D14" t="s">
        <v>2</v>
      </c>
      <c r="E14" t="s">
        <v>3</v>
      </c>
      <c r="F14" t="s">
        <v>4</v>
      </c>
      <c r="G14" t="s">
        <v>5</v>
      </c>
      <c r="H14" t="s">
        <v>6</v>
      </c>
    </row>
    <row r="15" ht="14.25">
      <c r="B15" t="s">
        <v>7</v>
      </c>
      <c r="C15">
        <v>20000</v>
      </c>
      <c r="D15">
        <v>30</v>
      </c>
      <c r="E15">
        <v>500000</v>
      </c>
      <c r="F15" s="2">
        <f t="shared" ref="F15:F18" si="0">E15/C15</f>
        <v>25</v>
      </c>
      <c r="G15" s="3">
        <f t="shared" ref="G15:G18" si="1">D15-F15</f>
        <v>5</v>
      </c>
      <c r="H15">
        <f t="shared" ref="H15:H18" si="2">G15*C15</f>
        <v>100000</v>
      </c>
    </row>
    <row r="16" ht="14.25">
      <c r="B16" t="s">
        <v>8</v>
      </c>
      <c r="C16">
        <v>15000</v>
      </c>
      <c r="D16">
        <v>40</v>
      </c>
      <c r="E16">
        <v>580000</v>
      </c>
      <c r="F16" s="2">
        <f t="shared" si="0"/>
        <v>38.666666666666664</v>
      </c>
      <c r="G16" s="3">
        <f t="shared" si="1"/>
        <v>1.3333333333333357</v>
      </c>
      <c r="H16">
        <f t="shared" si="2"/>
        <v>20000.000000000036</v>
      </c>
    </row>
    <row r="17" ht="14.25">
      <c r="B17" t="s">
        <v>9</v>
      </c>
      <c r="C17">
        <v>18000</v>
      </c>
      <c r="D17">
        <v>10</v>
      </c>
      <c r="E17">
        <v>100000</v>
      </c>
      <c r="F17" s="2">
        <f t="shared" si="0"/>
        <v>5.5555555555555554</v>
      </c>
      <c r="G17" s="3">
        <f t="shared" si="1"/>
        <v>4.4444444444444446</v>
      </c>
      <c r="H17">
        <f t="shared" si="2"/>
        <v>80000</v>
      </c>
    </row>
    <row r="18" ht="14.25">
      <c r="B18" t="s">
        <v>10</v>
      </c>
      <c r="C18">
        <v>40000</v>
      </c>
      <c r="D18">
        <v>5</v>
      </c>
      <c r="E18">
        <v>90000</v>
      </c>
      <c r="F18" s="2">
        <f t="shared" si="0"/>
        <v>2.25</v>
      </c>
      <c r="G18" s="3">
        <f t="shared" si="1"/>
        <v>2.75</v>
      </c>
      <c r="H18">
        <f t="shared" si="2"/>
        <v>110000</v>
      </c>
    </row>
    <row r="21" ht="14.25">
      <c r="H21">
        <f>SUM(H15:H18)</f>
        <v>310000</v>
      </c>
    </row>
    <row r="22" ht="14.25">
      <c r="D22">
        <v>1</v>
      </c>
      <c r="E22" t="s">
        <v>11</v>
      </c>
      <c r="H22">
        <v>210000</v>
      </c>
    </row>
    <row r="23" ht="14.25">
      <c r="G23" t="s">
        <v>12</v>
      </c>
      <c r="H23">
        <f>H21-H22</f>
        <v>100000</v>
      </c>
    </row>
    <row r="29" ht="14.25">
      <c r="C29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4" max="4" width="11.05078125"/>
  </cols>
  <sheetData>
    <row r="12">
      <c r="C12" t="s">
        <v>13</v>
      </c>
    </row>
    <row r="13">
      <c r="B13" t="s">
        <v>14</v>
      </c>
      <c r="C13" t="s">
        <v>15</v>
      </c>
      <c r="E13">
        <f>(450-270)*5000</f>
        <v>900000</v>
      </c>
    </row>
    <row r="14">
      <c r="G14" t="s">
        <v>16</v>
      </c>
    </row>
    <row r="15">
      <c r="C15" t="s">
        <v>17</v>
      </c>
      <c r="D15" t="s">
        <v>18</v>
      </c>
      <c r="E15" t="s">
        <v>19</v>
      </c>
      <c r="F15" t="s">
        <v>20</v>
      </c>
      <c r="G15">
        <f>(450-270)*5500-E13</f>
        <v>90000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min="1" max="1" style="4" width="40.90234375"/>
    <col bestFit="1" min="2" max="2" style="4" width="40.04296875"/>
    <col bestFit="1" min="3" max="3" style="4" width="15.25390625"/>
    <col min="4" max="16384" style="4" width="9.140625"/>
  </cols>
  <sheetData>
    <row r="1" ht="18.75">
      <c r="A1" s="5" t="s">
        <v>21</v>
      </c>
      <c r="B1" s="6"/>
      <c r="C1" s="6"/>
      <c r="D1" s="6"/>
    </row>
    <row r="2" ht="14.25">
      <c r="A2" s="6"/>
      <c r="B2" s="6"/>
      <c r="C2" s="6"/>
      <c r="D2" s="6"/>
    </row>
    <row r="3" ht="14.25">
      <c r="A3" s="7"/>
      <c r="B3" s="7"/>
      <c r="C3" s="7"/>
      <c r="D3" s="6"/>
    </row>
    <row r="4" ht="14.25">
      <c r="A4" s="7" t="s">
        <v>22</v>
      </c>
      <c r="B4" s="8">
        <v>516</v>
      </c>
      <c r="C4" s="7"/>
      <c r="D4" s="6"/>
    </row>
    <row r="5" ht="14.25">
      <c r="A5" s="7" t="s">
        <v>23</v>
      </c>
      <c r="B5" s="8">
        <v>414</v>
      </c>
      <c r="C5" s="7"/>
      <c r="D5" s="6"/>
    </row>
    <row r="6" ht="14.25">
      <c r="A6" s="7" t="s">
        <v>20</v>
      </c>
      <c r="B6" s="8">
        <v>2536000</v>
      </c>
      <c r="C6" s="7"/>
      <c r="D6" s="6"/>
    </row>
    <row r="7" ht="14.25">
      <c r="A7" s="7" t="s">
        <v>24</v>
      </c>
      <c r="B7" s="8">
        <v>316</v>
      </c>
      <c r="C7" s="7"/>
      <c r="D7" s="6"/>
    </row>
    <row r="8" ht="14.25">
      <c r="A8" s="7" t="s">
        <v>25</v>
      </c>
      <c r="B8" s="8">
        <v>22000</v>
      </c>
      <c r="C8" s="7"/>
      <c r="D8" s="6"/>
    </row>
    <row r="9" ht="14.25">
      <c r="A9" s="7" t="s">
        <v>26</v>
      </c>
      <c r="B9" s="8">
        <v>19.399999999999999</v>
      </c>
      <c r="C9" s="7"/>
      <c r="D9" s="6"/>
    </row>
    <row r="10" ht="14.25">
      <c r="A10" s="7" t="s">
        <v>27</v>
      </c>
      <c r="B10" s="8">
        <v>600</v>
      </c>
      <c r="C10" s="7"/>
      <c r="D10" s="6"/>
    </row>
    <row r="11" ht="14.25">
      <c r="A11" s="6"/>
      <c r="B11" s="6"/>
      <c r="C11" s="6"/>
      <c r="D11" s="6"/>
    </row>
    <row r="12" ht="14.25">
      <c r="A12" s="6"/>
      <c r="B12" s="6"/>
      <c r="C12" s="6"/>
      <c r="D12" s="6"/>
    </row>
    <row r="13" ht="14.25">
      <c r="A13" s="9" t="s">
        <v>28</v>
      </c>
      <c r="B13" s="6"/>
      <c r="C13" s="6"/>
      <c r="D13" s="6"/>
    </row>
    <row r="14" ht="14.25">
      <c r="A14" s="7" t="s">
        <v>29</v>
      </c>
      <c r="B14" s="8">
        <f>B4-B7</f>
        <v>200</v>
      </c>
      <c r="C14" s="7"/>
      <c r="D14" s="6"/>
    </row>
    <row r="15" ht="14.25">
      <c r="A15" s="7" t="s">
        <v>30</v>
      </c>
      <c r="B15" s="10">
        <f>B10*12</f>
        <v>7200</v>
      </c>
      <c r="C15" s="7"/>
      <c r="D15" s="6"/>
    </row>
    <row r="16" ht="14.25">
      <c r="A16" s="7" t="s">
        <v>31</v>
      </c>
      <c r="B16" s="10">
        <f>B15*60</f>
        <v>432000</v>
      </c>
      <c r="C16" s="7"/>
      <c r="D16" s="6"/>
    </row>
    <row r="17" ht="14.25">
      <c r="A17" s="7" t="s">
        <v>32</v>
      </c>
      <c r="B17" s="10">
        <f>B16/B9</f>
        <v>22268.041237113404</v>
      </c>
      <c r="C17" s="7"/>
      <c r="D17" s="6"/>
    </row>
    <row r="18" ht="14.25">
      <c r="A18" s="6"/>
      <c r="B18" s="6"/>
      <c r="C18" s="6"/>
      <c r="D18" s="6"/>
    </row>
    <row r="19" ht="14.25">
      <c r="A19" s="7"/>
      <c r="B19" s="11" t="s">
        <v>33</v>
      </c>
      <c r="C19" s="11" t="s">
        <v>34</v>
      </c>
      <c r="D19" s="6"/>
    </row>
    <row r="20" ht="14.25">
      <c r="A20" s="7" t="s">
        <v>35</v>
      </c>
      <c r="B20" s="6" t="s">
        <v>36</v>
      </c>
      <c r="C20" s="7">
        <f>B6/B14</f>
        <v>12680</v>
      </c>
      <c r="D20" s="7"/>
    </row>
    <row r="21" ht="14.25">
      <c r="A21" s="7" t="s">
        <v>37</v>
      </c>
      <c r="B21" s="6" t="s">
        <v>38</v>
      </c>
      <c r="C21" s="8">
        <f>C20*B4</f>
        <v>6542880</v>
      </c>
      <c r="D21" s="7"/>
    </row>
    <row r="22" ht="14.25">
      <c r="A22" s="7" t="s">
        <v>39</v>
      </c>
      <c r="B22" s="6" t="s">
        <v>40</v>
      </c>
      <c r="C22" s="12">
        <f>C20/B17</f>
        <v>0.56942592592592589</v>
      </c>
      <c r="D22" s="7"/>
    </row>
    <row r="23" ht="14.25">
      <c r="A23" s="7" t="s">
        <v>41</v>
      </c>
      <c r="B23" s="6" t="s">
        <v>42</v>
      </c>
      <c r="C23" s="8">
        <f>(B8*B14)-B6</f>
        <v>1864000</v>
      </c>
      <c r="D23" s="7"/>
    </row>
    <row r="24" ht="14.25">
      <c r="A24" s="7" t="s">
        <v>43</v>
      </c>
      <c r="B24" s="6" t="s">
        <v>44</v>
      </c>
      <c r="C24" s="8">
        <f>B8*B4</f>
        <v>11352000</v>
      </c>
      <c r="D24" s="7"/>
    </row>
    <row r="25" ht="14.25">
      <c r="A25" s="7" t="s">
        <v>45</v>
      </c>
      <c r="B25" s="6" t="s">
        <v>46</v>
      </c>
      <c r="C25" s="12">
        <f>C23/C24</f>
        <v>0.164200140944327</v>
      </c>
      <c r="D25" s="7"/>
    </row>
    <row r="26" ht="14.25">
      <c r="A26" s="6" t="s">
        <v>47</v>
      </c>
      <c r="B26" s="6"/>
      <c r="C26" s="6"/>
      <c r="D26" s="7"/>
    </row>
    <row r="27" ht="14.25">
      <c r="A27" s="6" t="s">
        <v>48</v>
      </c>
      <c r="B27" s="6"/>
      <c r="C27" s="6"/>
      <c r="D27" s="7"/>
    </row>
    <row r="28" ht="14.25">
      <c r="A28" s="6" t="s">
        <v>49</v>
      </c>
      <c r="B28" s="6" t="s">
        <v>50</v>
      </c>
      <c r="C28" s="13">
        <f>B4*(1-C25)</f>
        <v>431.27272727272725</v>
      </c>
      <c r="D28" s="7"/>
    </row>
    <row r="29" ht="14.25">
      <c r="A29" s="6" t="s">
        <v>51</v>
      </c>
      <c r="B29" s="6" t="s">
        <v>52</v>
      </c>
      <c r="C29" s="13">
        <f>C28*B8</f>
        <v>9488000</v>
      </c>
      <c r="D29" s="7"/>
    </row>
    <row r="30" ht="14.25">
      <c r="A30" s="6" t="s">
        <v>53</v>
      </c>
      <c r="B30" s="6" t="s">
        <v>54</v>
      </c>
      <c r="C30" s="13">
        <f>C28-B7</f>
        <v>115.27272727272725</v>
      </c>
      <c r="D30" s="7"/>
    </row>
    <row r="31" ht="14.25">
      <c r="A31" s="6" t="s">
        <v>55</v>
      </c>
      <c r="B31" s="6" t="s">
        <v>56</v>
      </c>
      <c r="C31" s="14">
        <f>(B8*C30)-B6</f>
        <v>-4.6566128730773926e-10</v>
      </c>
      <c r="D31" s="7"/>
    </row>
    <row r="32" ht="14.25">
      <c r="A32" s="6"/>
      <c r="B32" s="6"/>
      <c r="C32" s="15"/>
      <c r="D32" s="6"/>
    </row>
    <row r="33" ht="14.25">
      <c r="A33" s="6" t="s">
        <v>57</v>
      </c>
      <c r="B33" s="6" t="s">
        <v>58</v>
      </c>
      <c r="C33" s="13">
        <f>(B8*B4)-B6</f>
        <v>8816000</v>
      </c>
      <c r="D33" s="6"/>
    </row>
    <row r="34" ht="14.25">
      <c r="A34" s="6" t="s">
        <v>59</v>
      </c>
      <c r="B34" s="6" t="s">
        <v>60</v>
      </c>
      <c r="C34" s="13">
        <f>C33/B8</f>
        <v>400.72727272727275</v>
      </c>
      <c r="D34" s="6"/>
    </row>
    <row r="35" ht="14.25">
      <c r="A35" s="6"/>
      <c r="B35" s="6"/>
      <c r="C35" s="6"/>
      <c r="D35" s="6"/>
    </row>
    <row r="36" ht="14.25">
      <c r="A36" s="7"/>
      <c r="B36" s="6"/>
      <c r="C36" s="10"/>
      <c r="D36" s="6"/>
    </row>
    <row r="37" ht="14.25">
      <c r="A37" s="7"/>
      <c r="B37" s="6"/>
      <c r="C37" s="10"/>
      <c r="D37" s="6"/>
    </row>
    <row r="38" ht="14.25">
      <c r="A38" s="7"/>
      <c r="B38" s="6"/>
      <c r="C38" s="10"/>
      <c r="D38" s="6"/>
    </row>
    <row r="39" ht="14.25">
      <c r="A39" s="7"/>
      <c r="B39" s="6"/>
      <c r="C39" s="10"/>
      <c r="D39" s="6"/>
    </row>
    <row r="40" ht="14.25">
      <c r="A40" s="7"/>
      <c r="B40" s="6"/>
      <c r="C40" s="10"/>
      <c r="D40" s="6"/>
    </row>
    <row r="41" ht="14.25">
      <c r="A41" s="7"/>
      <c r="B41" s="6"/>
      <c r="C41" s="10"/>
      <c r="D41" s="6"/>
    </row>
    <row r="42" ht="14.25">
      <c r="A42" s="6"/>
      <c r="B42" s="6"/>
      <c r="C42" s="6"/>
      <c r="D42" s="6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customWidth="1" min="2" max="2" width="10.421875"/>
    <col customWidth="1" min="3" max="3" width="12.421875"/>
    <col customWidth="1" min="4" max="4" width="21.8515625"/>
    <col bestFit="1" min="5" max="5" width="28.390625"/>
    <col bestFit="1" min="9" max="9" width="11.83203125"/>
  </cols>
  <sheetData>
    <row r="4" ht="14.25">
      <c r="B4" s="16" t="s">
        <v>0</v>
      </c>
      <c r="C4" s="16" t="s">
        <v>61</v>
      </c>
      <c r="D4" s="16" t="s">
        <v>62</v>
      </c>
      <c r="E4" s="16" t="s">
        <v>63</v>
      </c>
      <c r="F4" t="s">
        <v>64</v>
      </c>
      <c r="G4" t="s">
        <v>65</v>
      </c>
    </row>
    <row r="5" ht="14.25">
      <c r="B5" t="s">
        <v>66</v>
      </c>
      <c r="C5">
        <v>400</v>
      </c>
      <c r="D5">
        <v>200</v>
      </c>
      <c r="E5">
        <v>20</v>
      </c>
      <c r="F5">
        <f>C5-D5</f>
        <v>200</v>
      </c>
      <c r="G5">
        <f>F5/E5</f>
        <v>10</v>
      </c>
    </row>
    <row r="6" ht="14.25">
      <c r="B6" t="s">
        <v>67</v>
      </c>
      <c r="C6">
        <v>350</v>
      </c>
      <c r="D6">
        <v>250</v>
      </c>
      <c r="E6">
        <v>5</v>
      </c>
      <c r="F6">
        <f>C6-D6</f>
        <v>100</v>
      </c>
      <c r="G6">
        <f>F6/E6</f>
        <v>20</v>
      </c>
    </row>
    <row r="7" ht="14.25">
      <c r="B7" t="s">
        <v>68</v>
      </c>
      <c r="C7">
        <v>450</v>
      </c>
      <c r="D7">
        <v>285</v>
      </c>
      <c r="E7">
        <v>15</v>
      </c>
      <c r="F7">
        <f>C7-D7</f>
        <v>165</v>
      </c>
      <c r="G7">
        <f>F7/E7</f>
        <v>11</v>
      </c>
    </row>
    <row r="11" ht="14.25">
      <c r="B11" t="s">
        <v>69</v>
      </c>
      <c r="I11" s="1"/>
    </row>
    <row r="12" ht="14.25">
      <c r="B12" t="s">
        <v>70</v>
      </c>
      <c r="C12" t="s">
        <v>67</v>
      </c>
    </row>
    <row r="13" ht="14.25">
      <c r="B13" t="s">
        <v>71</v>
      </c>
      <c r="C13" t="s">
        <v>68</v>
      </c>
    </row>
    <row r="14" ht="14.25">
      <c r="B14" t="s">
        <v>72</v>
      </c>
      <c r="C14" t="s">
        <v>66</v>
      </c>
    </row>
    <row r="16" ht="14.25">
      <c r="B16" t="s">
        <v>73</v>
      </c>
    </row>
    <row r="18" ht="14.25">
      <c r="B18" s="16" t="s">
        <v>0</v>
      </c>
      <c r="C18" s="16" t="s">
        <v>74</v>
      </c>
      <c r="D18" s="16" t="s">
        <v>75</v>
      </c>
      <c r="E18" s="16" t="s">
        <v>76</v>
      </c>
    </row>
    <row r="19" ht="14.25">
      <c r="B19" t="s">
        <v>66</v>
      </c>
      <c r="C19">
        <v>120</v>
      </c>
      <c r="D19">
        <f>(C19*E5)/60</f>
        <v>40</v>
      </c>
      <c r="E19">
        <f>C19*F5</f>
        <v>24000</v>
      </c>
    </row>
    <row r="20" ht="14.25">
      <c r="B20" t="s">
        <v>67</v>
      </c>
      <c r="C20">
        <v>1800</v>
      </c>
      <c r="D20">
        <f>(C20*E6)/60</f>
        <v>150</v>
      </c>
      <c r="E20">
        <f>C20*F6</f>
        <v>180000</v>
      </c>
    </row>
    <row r="21" ht="14.25">
      <c r="B21" t="s">
        <v>68</v>
      </c>
      <c r="C21">
        <f>(10*60)/15</f>
        <v>40</v>
      </c>
      <c r="D21">
        <v>10</v>
      </c>
      <c r="E21">
        <f>C21*F7</f>
        <v>6600</v>
      </c>
    </row>
    <row r="23" ht="14.25">
      <c r="C23" t="s">
        <v>14</v>
      </c>
      <c r="D23" t="s">
        <v>77</v>
      </c>
      <c r="E23">
        <f>SUM(E19:E21)</f>
        <v>210600</v>
      </c>
    </row>
    <row r="26" ht="14.25">
      <c r="B26" t="s">
        <v>16</v>
      </c>
      <c r="C26" t="s">
        <v>78</v>
      </c>
    </row>
    <row r="28" ht="14.25">
      <c r="B28" s="16" t="s">
        <v>0</v>
      </c>
      <c r="C28" s="16" t="s">
        <v>74</v>
      </c>
      <c r="D28" s="16" t="s">
        <v>75</v>
      </c>
      <c r="E28" s="16" t="s">
        <v>76</v>
      </c>
    </row>
    <row r="29" ht="14.25">
      <c r="B29" s="6" t="s">
        <v>66</v>
      </c>
      <c r="C29" s="6">
        <v>0</v>
      </c>
      <c r="D29" s="6">
        <v>0</v>
      </c>
      <c r="E29" s="6">
        <f>F5*C29</f>
        <v>0</v>
      </c>
      <c r="I29" s="17"/>
    </row>
    <row r="30" ht="14.25">
      <c r="B30" s="6" t="s">
        <v>67</v>
      </c>
      <c r="C30" s="6">
        <v>1800</v>
      </c>
      <c r="D30" s="6">
        <f>(C30*E6)/60</f>
        <v>150</v>
      </c>
      <c r="E30" s="6">
        <f>F6*C30</f>
        <v>180000</v>
      </c>
    </row>
    <row r="31" ht="14.25">
      <c r="B31" s="6" t="s">
        <v>68</v>
      </c>
      <c r="C31" s="6">
        <f>(D31*60)/E7</f>
        <v>200</v>
      </c>
      <c r="D31" s="6">
        <v>50</v>
      </c>
      <c r="E31" s="6">
        <f>F7*C31</f>
        <v>33000</v>
      </c>
    </row>
    <row r="33" ht="14.25">
      <c r="D33" t="s">
        <v>79</v>
      </c>
      <c r="E33">
        <f>SUM(E29:E31)</f>
        <v>213000</v>
      </c>
    </row>
    <row r="37" ht="14.25">
      <c r="D37" t="s">
        <v>80</v>
      </c>
      <c r="E37">
        <f>E33</f>
        <v>213000</v>
      </c>
    </row>
    <row r="38" ht="14.25">
      <c r="D38" t="s">
        <v>81</v>
      </c>
      <c r="E38">
        <f>E23</f>
        <v>210600</v>
      </c>
    </row>
    <row r="39" ht="14.25">
      <c r="D39" t="s">
        <v>82</v>
      </c>
      <c r="E39" s="16">
        <f>E37-E38</f>
        <v>2400</v>
      </c>
    </row>
    <row r="41" ht="14.25">
      <c r="D41" t="s">
        <v>83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85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2026-05-17T21:05:27Z</dcterms:modified>
</cp:coreProperties>
</file>
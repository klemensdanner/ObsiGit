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7.1" sheetId="1" state="visible" r:id="rId1"/>
    <sheet name="7.2" sheetId="2" state="visible" r:id="rId2"/>
    <sheet name="7.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<sst xmlns="http://schemas.openxmlformats.org/spreadsheetml/2006/main" count="21" uniqueCount="21">
  <si>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Produkt</t>
  </si>
  <si>
    <t>Einheiten</t>
  </si>
  <si>
    <t xml:space="preserve">Preis pro Einheit</t>
  </si>
  <si>
    <t xml:space="preserve">Variable Kosten gesamt</t>
  </si>
  <si>
    <t xml:space="preserve">var Kosten /Einheit</t>
  </si>
  <si>
    <t xml:space="preserve">Deckungsbeitrag pro Einheit</t>
  </si>
  <si>
    <t xml:space="preserve">Deckungsbeitrag (DB)</t>
  </si>
  <si>
    <t>A</t>
  </si>
  <si>
    <t>B</t>
  </si>
  <si>
    <t>C</t>
  </si>
  <si>
    <t>D</t>
  </si>
  <si>
    <t xml:space="preserve">db pro einheit, dann skalieren, dann fixkosten abziehen</t>
  </si>
  <si>
    <t>Betriebsergebnis</t>
  </si>
  <si>
    <t xml:space="preserve">270*5000 + Fixkosten = 450 * 5000</t>
  </si>
  <si>
    <t>a)</t>
  </si>
  <si>
    <t xml:space="preserve">Fixkosten = </t>
  </si>
  <si>
    <t>b)</t>
  </si>
  <si>
    <t xml:space="preserve">Gewinn = </t>
  </si>
  <si>
    <t>(450-270)*x</t>
  </si>
  <si>
    <t>-</t>
  </si>
  <si>
    <t>Fixkosten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</si>
</sst>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left"/>
    </xf>
    <xf fontId="0" fillId="0" borderId="0" numFmtId="1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592058</xdr:colOff>
      <xdr:row>0</xdr:row>
      <xdr:rowOff>167639</xdr:rowOff>
    </xdr:from>
    <xdr:ext cx="3151265" cy="1689734"/>
    <xdr:pic>
      <xdr:nvPicPr>
        <xdr:cNvPr id="1828788549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592058" y="167639"/>
          <a:ext cx="3151265" cy="168973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609599</xdr:colOff>
      <xdr:row>2</xdr:row>
      <xdr:rowOff>51434</xdr:rowOff>
    </xdr:from>
    <xdr:ext cx="3921732" cy="1283968"/>
    <xdr:pic>
      <xdr:nvPicPr>
        <xdr:cNvPr id="1682100589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09599" y="401954"/>
          <a:ext cx="3921732" cy="128396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00" workbookViewId="0">
      <selection activeCell="A1" activeCellId="0" sqref="A1"/>
    </sheetView>
  </sheetViews>
  <sheetFormatPr defaultRowHeight="14.25"/>
  <cols>
    <col bestFit="1" min="2" max="2" width="7.453125"/>
    <col bestFit="1" min="3" max="3" width="16.7734375"/>
    <col bestFit="1" min="4" max="4" width="24.54296875"/>
    <col bestFit="1" min="5" max="5" width="20.6015625"/>
    <col bestFit="1" min="6" max="6" width="16.7734375"/>
    <col bestFit="1" min="7" max="7" width="24.54296875"/>
    <col bestFit="1" min="8" max="8" width="19.05078125"/>
  </cols>
  <sheetData>
    <row r="1" ht="14.25">
      <c r="A1" s="1"/>
    </row>
    <row r="14" ht="14.25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</row>
    <row r="15" ht="14.25">
      <c r="B15" t="s">
        <v>7</v>
      </c>
      <c r="C15">
        <v>20000</v>
      </c>
      <c r="D15">
        <v>30</v>
      </c>
      <c r="E15">
        <v>500000</v>
      </c>
      <c r="F15" s="2">
        <f>E15/C15</f>
        <v>25</v>
      </c>
      <c r="G15" s="3">
        <f>D15-F15</f>
        <v>5</v>
      </c>
      <c r="H15">
        <f>G15*C15</f>
        <v>100000</v>
      </c>
    </row>
    <row r="16" ht="14.25">
      <c r="B16" t="s">
        <v>8</v>
      </c>
      <c r="C16">
        <v>15000</v>
      </c>
      <c r="D16">
        <v>40</v>
      </c>
      <c r="E16">
        <v>580000</v>
      </c>
      <c r="F16" s="2">
        <f>E16/C16</f>
        <v>38.666666666666664</v>
      </c>
      <c r="G16" s="3">
        <f>D16-F16</f>
        <v>1.3333333333333357</v>
      </c>
      <c r="H16">
        <f>G16*C16</f>
        <v>20000.000000000036</v>
      </c>
    </row>
    <row r="17" ht="14.25">
      <c r="B17" t="s">
        <v>9</v>
      </c>
      <c r="C17">
        <v>18000</v>
      </c>
      <c r="D17">
        <v>10</v>
      </c>
      <c r="E17">
        <v>100000</v>
      </c>
      <c r="F17" s="2">
        <f>E17/C17</f>
        <v>5.5555555555555554</v>
      </c>
      <c r="G17" s="3">
        <f>D17-F17</f>
        <v>4.4444444444444446</v>
      </c>
      <c r="H17">
        <f>G17*C17</f>
        <v>80000</v>
      </c>
    </row>
    <row r="18" ht="14.25">
      <c r="B18" t="s">
        <v>10</v>
      </c>
      <c r="C18">
        <v>40000</v>
      </c>
      <c r="D18">
        <v>5</v>
      </c>
      <c r="E18">
        <v>90000</v>
      </c>
      <c r="F18" s="2">
        <f>E18/C18</f>
        <v>2.25</v>
      </c>
      <c r="G18" s="3">
        <f>D18-F18</f>
        <v>2.75</v>
      </c>
      <c r="H18">
        <f>G18*C18</f>
        <v>110000</v>
      </c>
    </row>
    <row r="21" ht="14.25">
      <c r="H21">
        <f>SUM(H15:H18)</f>
        <v>310000</v>
      </c>
    </row>
    <row r="22" ht="14.25">
      <c r="D22">
        <v>1</v>
      </c>
      <c r="E22" t="s">
        <v>11</v>
      </c>
      <c r="H22">
        <v>210000</v>
      </c>
    </row>
    <row r="23" ht="14.25">
      <c r="G23" t="s">
        <v>12</v>
      </c>
      <c r="H23">
        <f>H21-H22</f>
        <v>100000</v>
      </c>
    </row>
    <row r="29" ht="14.25">
      <c r="C2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4" max="4" width="11.05078125"/>
  </cols>
  <sheetData>
    <row r="12">
      <c r="C12" t="s">
        <v>13</v>
      </c>
    </row>
    <row r="13">
      <c r="B13" t="s">
        <v>14</v>
      </c>
      <c r="C13" t="s">
        <v>15</v>
      </c>
      <c r="E13">
        <f>(450-270)*5000</f>
        <v>900000</v>
      </c>
    </row>
    <row r="14">
      <c r="G14" t="s">
        <v>16</v>
      </c>
    </row>
    <row r="15">
      <c r="C15" t="s">
        <v>17</v>
      </c>
      <c r="D15" t="s">
        <v>18</v>
      </c>
      <c r="E15" t="s">
        <v>19</v>
      </c>
      <c r="F15" t="s">
        <v>20</v>
      </c>
      <c r="G15">
        <f>(450-270)*5500-E13</f>
        <v>90000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2026-05-04T13:40:31Z</dcterms:modified>
</cp:coreProperties>
</file>
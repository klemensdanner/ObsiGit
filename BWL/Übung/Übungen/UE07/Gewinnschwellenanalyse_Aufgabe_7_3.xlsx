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Aufgabe_7.3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<sst xmlns="http://schemas.openxmlformats.org/spreadsheetml/2006/main" count="51" uniqueCount="51">
  <si>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 xml:space="preserve">Aufgabe 7.3</t>
  </si>
  <si>
    <t>Variable</t>
  </si>
  <si>
    <t xml:space="preserve">Wert / Formel</t>
  </si>
  <si>
    <t>Einheit</t>
  </si>
  <si>
    <t>Verkaufspreis</t>
  </si>
  <si>
    <t>€/Stück</t>
  </si>
  <si>
    <t xml:space="preserve">Stückkosten (zu Vollkosten)</t>
  </si>
  <si>
    <t>Fixkosten</t>
  </si>
  <si>
    <t>€</t>
  </si>
  <si>
    <t xml:space="preserve">Variable Stückkosten</t>
  </si>
  <si>
    <t xml:space="preserve">Geplante Absatzmenge 20xx</t>
  </si>
  <si>
    <t>Stück</t>
  </si>
  <si>
    <t>Fertigungszeit</t>
  </si>
  <si>
    <t xml:space="preserve">Min / Stück</t>
  </si>
  <si>
    <t xml:space="preserve">Kapazität bei Normalarbeitszeit</t>
  </si>
  <si>
    <t xml:space="preserve">Std / Monat</t>
  </si>
  <si>
    <t>Nebenrechnungen:</t>
  </si>
  <si>
    <t xml:space="preserve">Deckungsbeitrag / stück</t>
  </si>
  <si>
    <t xml:space="preserve">Kapazität pro Jahr (h)</t>
  </si>
  <si>
    <t xml:space="preserve">Std / Jahr</t>
  </si>
  <si>
    <t xml:space="preserve">Kapazität pro Jahr (min)</t>
  </si>
  <si>
    <t xml:space="preserve">Min / Jahr</t>
  </si>
  <si>
    <t xml:space="preserve">max. Produktionsmenge pro Jahr</t>
  </si>
  <si>
    <t>Berechnung</t>
  </si>
  <si>
    <t>Ergebnis</t>
  </si>
  <si>
    <t xml:space="preserve">a) Break-Even-Menge</t>
  </si>
  <si>
    <t xml:space="preserve">Fixkosten / Deckungsbeitrag</t>
  </si>
  <si>
    <t xml:space="preserve">b) Deckungsumsatz (Umsatz am BEP)</t>
  </si>
  <si>
    <t xml:space="preserve">Break-Even-Menge * Verkaufspreis</t>
  </si>
  <si>
    <t xml:space="preserve">c) Kapazitätsauslastung bei Kostendeckung</t>
  </si>
  <si>
    <t xml:space="preserve">Break-Even-Menge / max. Produktionsmenge</t>
  </si>
  <si>
    <t xml:space="preserve">d) Gewinn bei Planabsatzmenge</t>
  </si>
  <si>
    <t xml:space="preserve">(Planabsatzmenge * db - Fixkosten)</t>
  </si>
  <si>
    <t xml:space="preserve">e) geplanter Umsatz</t>
  </si>
  <si>
    <t xml:space="preserve">Planabsatzmenge * Verkaufspreis</t>
  </si>
  <si>
    <t xml:space="preserve">e) Umsatzrentabilität bei Planabsatzmenge</t>
  </si>
  <si>
    <t xml:space="preserve">Plangewinn / Planumsatz</t>
  </si>
  <si>
    <t xml:space="preserve">f)  Gewinn bei Preisnachlass von Ums.rent.:</t>
  </si>
  <si>
    <t xml:space="preserve">Verkaufsmenge: Planabsatzmenge</t>
  </si>
  <si>
    <t xml:space="preserve">neuer Preis:</t>
  </si>
  <si>
    <t xml:space="preserve">Verkaufspreis * (1-Umsatzrent)</t>
  </si>
  <si>
    <t xml:space="preserve">neuer Umsatz:</t>
  </si>
  <si>
    <t xml:space="preserve">neuerPreis * Planabsatzmenge</t>
  </si>
  <si>
    <t xml:space="preserve">neuer Deckungsbeitrag</t>
  </si>
  <si>
    <t xml:space="preserve">neuerPreis - varKosten</t>
  </si>
  <si>
    <t xml:space="preserve">neuer Gewinn</t>
  </si>
  <si>
    <t xml:space="preserve">Planmenge*neuDB - Fixkosten</t>
  </si>
  <si>
    <t xml:space="preserve">g) verkraftbarer Anstieg der variablen Kosten</t>
  </si>
  <si>
    <t xml:space="preserve">a = PlanabsMeng * preis - Fixkosten</t>
  </si>
  <si>
    <t xml:space="preserve">verkraftbarer Anstieg auf C34 ohne Verlust</t>
  </si>
  <si>
    <t xml:space="preserve">a / PlanabsMeng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</si>
</sst>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indexed="64"/>
      <name val="Arial"/>
      <scheme val="minor"/>
    </font>
    <font>
      <b/>
      <sz val="14.00000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0" numFmtId="0" xfId="0" applyFont="1" applyAlignment="1">
      <alignment readingOrder="0"/>
    </xf>
    <xf fontId="0" fillId="0" borderId="0" numFmtId="0" xfId="0" applyAlignment="1">
      <alignment horizontal="left" readingOrder="0"/>
    </xf>
    <xf fontId="0" fillId="0" borderId="0" numFmtId="0" xfId="0" applyAlignment="1">
      <alignment readingOrder="0"/>
    </xf>
    <xf fontId="2" fillId="0" borderId="0" numFmtId="0" xfId="0" applyFont="1"/>
    <xf fontId="2" fillId="0" borderId="0" numFmtId="10" xfId="0" applyNumberFormat="1" applyFont="1"/>
    <xf fontId="2" fillId="0" borderId="0" numFmtId="2" xfId="0" applyNumberFormat="1" applyFont="1"/>
    <xf fontId="0" fillId="0" borderId="0" numFmtId="2" xfId="0" applyNumberFormat="1" applyAlignment="1">
      <alignment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40.140625"/>
    <col customWidth="1" min="2" max="2" width="40.7109375"/>
    <col customWidth="1" min="3" max="3" width="31.7109375"/>
  </cols>
  <sheetData>
    <row r="1" ht="16.5">
      <c r="A1" s="1" t="s">
        <v>0</v>
      </c>
      <c r="B1"/>
      <c r="C1"/>
      <c r="D1"/>
    </row>
    <row r="2">
      <c r="B2"/>
      <c r="C2"/>
      <c r="D2"/>
    </row>
    <row r="3">
      <c r="A3" s="2" t="s">
        <v>1</v>
      </c>
      <c r="B3" s="2" t="s">
        <v>2</v>
      </c>
      <c r="C3" s="2" t="s">
        <v>3</v>
      </c>
      <c r="D3"/>
    </row>
    <row r="4">
      <c r="A4" s="2" t="s">
        <v>4</v>
      </c>
      <c r="B4" s="2">
        <v>516</v>
      </c>
      <c r="C4" s="2" t="s">
        <v>5</v>
      </c>
      <c r="D4"/>
      <c r="F4" s="3"/>
    </row>
    <row r="5">
      <c r="A5" s="2" t="s">
        <v>6</v>
      </c>
      <c r="B5" s="2">
        <v>414</v>
      </c>
      <c r="C5" s="2" t="s">
        <v>5</v>
      </c>
      <c r="D5"/>
    </row>
    <row r="6">
      <c r="A6" s="2" t="s">
        <v>7</v>
      </c>
      <c r="B6" s="2">
        <v>2536000</v>
      </c>
      <c r="C6" s="2" t="s">
        <v>8</v>
      </c>
      <c r="D6"/>
    </row>
    <row r="7">
      <c r="A7" s="2" t="s">
        <v>9</v>
      </c>
      <c r="B7" s="2">
        <v>316</v>
      </c>
      <c r="C7" s="2" t="s">
        <v>5</v>
      </c>
      <c r="D7"/>
    </row>
    <row r="8">
      <c r="A8" s="2" t="s">
        <v>10</v>
      </c>
      <c r="B8" s="2">
        <v>22000</v>
      </c>
      <c r="C8" s="2" t="s">
        <v>11</v>
      </c>
      <c r="D8"/>
    </row>
    <row r="9" ht="15.75" customHeight="1">
      <c r="A9" s="2" t="s">
        <v>12</v>
      </c>
      <c r="B9" s="2">
        <v>19.399999999999999</v>
      </c>
      <c r="C9" s="2" t="s">
        <v>13</v>
      </c>
      <c r="D9"/>
    </row>
    <row r="10">
      <c r="A10" s="2" t="s">
        <v>14</v>
      </c>
      <c r="B10" s="2">
        <v>600</v>
      </c>
      <c r="C10" s="2" t="s">
        <v>15</v>
      </c>
      <c r="D10"/>
    </row>
    <row r="11">
      <c r="A11"/>
      <c r="B11"/>
      <c r="C11"/>
      <c r="D11"/>
    </row>
    <row r="12">
      <c r="A12"/>
      <c r="B12"/>
      <c r="C12"/>
    </row>
    <row r="13">
      <c r="A13" s="4" t="s">
        <v>16</v>
      </c>
      <c r="B13"/>
      <c r="C13"/>
      <c r="D13"/>
    </row>
    <row r="14" ht="15.75" customHeight="1">
      <c r="A14" s="2" t="s">
        <v>17</v>
      </c>
      <c r="B14" s="5">
        <f>B4-B7</f>
        <v>200</v>
      </c>
      <c r="C14" s="2" t="s">
        <v>5</v>
      </c>
    </row>
    <row r="15">
      <c r="A15" s="2" t="s">
        <v>18</v>
      </c>
      <c r="B15" s="5">
        <f>B10*12</f>
        <v>7200</v>
      </c>
      <c r="C15" s="2" t="s">
        <v>19</v>
      </c>
    </row>
    <row r="16">
      <c r="A16" s="2" t="s">
        <v>20</v>
      </c>
      <c r="B16" s="5">
        <f>B15*60</f>
        <v>432000</v>
      </c>
      <c r="C16" s="2" t="s">
        <v>21</v>
      </c>
    </row>
    <row r="17">
      <c r="A17" s="2" t="s">
        <v>22</v>
      </c>
      <c r="B17" s="5">
        <f>B16/B9</f>
        <v>22268.041237113404</v>
      </c>
      <c r="C17" s="2" t="s">
        <v>11</v>
      </c>
    </row>
    <row r="18">
      <c r="A18"/>
      <c r="B18"/>
      <c r="C18"/>
      <c r="D18"/>
    </row>
    <row r="19">
      <c r="A19" s="2"/>
      <c r="B19" s="4" t="s">
        <v>23</v>
      </c>
      <c r="C19" s="4" t="s">
        <v>24</v>
      </c>
    </row>
    <row r="20">
      <c r="A20" s="2" t="s">
        <v>25</v>
      </c>
      <c r="B20" t="s">
        <v>26</v>
      </c>
      <c r="C20" s="5">
        <f>B6/B14</f>
        <v>12680</v>
      </c>
      <c r="D20" s="2"/>
    </row>
    <row r="21">
      <c r="A21" s="2" t="s">
        <v>27</v>
      </c>
      <c r="B21" t="s">
        <v>28</v>
      </c>
      <c r="C21" s="5">
        <f>C20*B4</f>
        <v>6542880</v>
      </c>
      <c r="D21" s="2"/>
    </row>
    <row r="22">
      <c r="A22" s="2" t="s">
        <v>29</v>
      </c>
      <c r="B22" t="s">
        <v>30</v>
      </c>
      <c r="C22" s="6">
        <f>C20/B17</f>
        <v>0.56942592592592589</v>
      </c>
      <c r="D22" s="2"/>
      <c r="F22" s="3"/>
    </row>
    <row r="23">
      <c r="A23" s="2" t="s">
        <v>31</v>
      </c>
      <c r="B23" t="s">
        <v>32</v>
      </c>
      <c r="C23" s="7">
        <f>(B8*B14)-B6</f>
        <v>1864000</v>
      </c>
      <c r="D23" s="2"/>
    </row>
    <row r="24">
      <c r="A24" s="2" t="s">
        <v>33</v>
      </c>
      <c r="B24" t="s">
        <v>34</v>
      </c>
      <c r="C24" s="7">
        <f>B8*B4</f>
        <v>11352000</v>
      </c>
      <c r="D24" s="2"/>
    </row>
    <row r="25">
      <c r="A25" s="2" t="s">
        <v>35</v>
      </c>
      <c r="B25" t="s">
        <v>36</v>
      </c>
      <c r="C25" s="6">
        <f>C23/C24</f>
        <v>0.164200140944327</v>
      </c>
      <c r="D25" s="2"/>
    </row>
    <row r="26">
      <c r="A26" t="s">
        <v>37</v>
      </c>
      <c r="D26" s="2"/>
    </row>
    <row r="27" ht="15.75" customHeight="1">
      <c r="A27" t="s">
        <v>38</v>
      </c>
      <c r="D27" s="2"/>
    </row>
    <row r="28" ht="15.75" customHeight="1">
      <c r="A28" t="s">
        <v>39</v>
      </c>
      <c r="B28" t="s">
        <v>40</v>
      </c>
      <c r="C28">
        <f>B4*(1-C25)</f>
        <v>431.27272727272725</v>
      </c>
      <c r="D28" s="2"/>
    </row>
    <row r="29" ht="15.75" customHeight="1">
      <c r="A29" t="s">
        <v>41</v>
      </c>
      <c r="B29" t="s">
        <v>42</v>
      </c>
      <c r="C29">
        <f>C28*B8</f>
        <v>9488000</v>
      </c>
      <c r="D29" s="2"/>
    </row>
    <row r="30" ht="15.75" customHeight="1">
      <c r="A30" t="s">
        <v>43</v>
      </c>
      <c r="B30" t="s">
        <v>44</v>
      </c>
      <c r="C30">
        <f>C28-B7</f>
        <v>115.27272727272725</v>
      </c>
      <c r="D30" s="2"/>
    </row>
    <row r="31" ht="15.75" customHeight="1">
      <c r="A31" t="s">
        <v>45</v>
      </c>
      <c r="B31" t="s">
        <v>46</v>
      </c>
      <c r="C31" s="8">
        <f>(B8*C30)-B6</f>
        <v>-4.6566128730773926e-10</v>
      </c>
      <c r="D31" s="2"/>
    </row>
    <row r="32" ht="15.75" customHeight="1">
      <c r="D32"/>
    </row>
    <row r="33" ht="15.75" customHeight="1">
      <c r="A33" t="s">
        <v>47</v>
      </c>
      <c r="B33" t="s">
        <v>48</v>
      </c>
      <c r="C33">
        <f>(B8*B4)-B6</f>
        <v>8816000</v>
      </c>
    </row>
    <row r="34" ht="15.75" customHeight="1">
      <c r="A34" t="s">
        <v>49</v>
      </c>
      <c r="B34" t="s">
        <v>50</v>
      </c>
      <c r="C34">
        <f>C33/B8</f>
        <v>400.72727272727275</v>
      </c>
    </row>
    <row r="36" ht="15.75" customHeight="1">
      <c r="A36" s="2"/>
      <c r="C36" s="7"/>
    </row>
    <row r="37" ht="15.75" customHeight="1">
      <c r="A37" s="2"/>
      <c r="C37" s="7"/>
    </row>
    <row r="38" ht="15.75" customHeight="1">
      <c r="A38" s="2"/>
      <c r="C38" s="7"/>
    </row>
    <row r="39" ht="15.75" customHeight="1">
      <c r="A39" s="2"/>
      <c r="C39" s="7"/>
    </row>
    <row r="40" ht="15.75" customHeight="1">
      <c r="A40" s="2"/>
      <c r="C40" s="7"/>
    </row>
    <row r="41" ht="15.75" customHeight="1">
      <c r="A41" s="2"/>
      <c r="C41" s="7"/>
    </row>
    <row r="42" ht="15.75" customHeight="1">
      <c r="A42"/>
      <c r="C4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
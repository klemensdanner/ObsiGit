
<file path=[Content_Types].xml><?xml version="1.0" encoding="utf-8"?>
<Types xmlns="http://schemas.openxmlformats.org/package/2006/content-types">
  <Default Extension="vml" ContentType="application/vnd.openxmlformats-officedocument.vmlDrawing"/>
  <Default Extension="xml" ContentType="application/xml"/>
  <Default Extension="wmf" ContentType="image/x-wmf"/>
  <Default Extension="bin" ContentType="application/vnd.openxmlformats-officedocument.oleObject"/>
  <Default Extension="rels" ContentType="application/vnd.openxmlformats-package.relationships+xml"/>
  <Default Extension="jpeg" ContentType="image/jpeg"/>
  <Default Extension="png" ContentType="image/png"/>
  <Override PartName="/xl/styles.xml" ContentType="application/vnd.openxmlformats-officedocument.spreadsheetml.styles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workbook.xml" ContentType="application/vnd.openxmlformats-officedocument.spreadsheetml.sheet.main+xml"/>
  <Override PartName="/docProps/core.xml" ContentType="application/vnd.openxmlformats-package.core-properties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persons/person.xml" ContentType="application/vnd.ms-excel.person+xml"/>
  <Override PartName="/docProps/app.xml" ContentType="application/vnd.openxmlformats-officedocument.extended-properties+xml"/>
  <Override PartName="/xl/theme/theme1.xml" ContentType="application/vnd.openxmlformats-officedocument.theme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hreadedComments/threadedComment1.xml" ContentType="application/vnd.ms-excel.threadedcomments+xml"/>
  <Override PartName="/xl/worksheets/sheet1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 Id="rId1" Type="http://schemas.openxmlformats.org/officeDocument/2006/relationships/extended-properties" Target="docProps/app.xml"/><Relationship  Id="rId2" Type="http://schemas.openxmlformats.org/package/2006/relationships/metadata/core-properties" Target="docProps/core.xml"/><Relationship 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4="http://schemas.microsoft.com/office/spreadsheetml/2009/9/main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bookViews>
    <workbookView xWindow="360" yWindow="15" windowWidth="20955" windowHeight="9720" activeTab="2"/>
  </bookViews>
  <sheets>
    <sheet name="UE 08.1" sheetId="1" state="visible" r:id="rId2"/>
    <sheet name="UE 08.2" sheetId="2" state="visible" r:id="rId3"/>
    <sheet name="UE 08.3." sheetId="3" state="visible" r:id="rId4"/>
    <sheet name="UE 08.4." sheetId="4" state="visible" r:id="rId5"/>
    <sheet name="UE 08.5." sheetId="5" state="visible" r:id="rId6"/>
  </sheets>
  <calcPr/>
  <extLst>
    <ext xmlns:x15="http://schemas.microsoft.com/office/spreadsheetml/2010/11/main" uri="{D0CA8CA8-9F24-4464-BF8E-62219DCF47F9}"/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tc={FBADFD58-0062-460C-B478-BF0E1A561B1D}</author>
    <author>tc={9B535F7F-7001-6361-A1B5-D14391AC019A}</author>
  </authors>
  <commentList>
    <comment ref="A4" authorId="0" xr:uid="{FBADFD58-0062-460C-B478-BF0E1A561B1D}">
      <text>
        <r>
          <rPr>
            <b/>
            <sz val="9"/>
            <rFont val="Tahoma"/>
          </rPr>
          <t xml:space="preserve">Hinterholzer Stefan:</t>
        </r>
        <r>
          <rPr>
            <sz val="9"/>
            <rFont val="Tahoma"/>
          </rPr>
          <t xml:space="preserve">
Sie heißen deshalb Erfolgszahlungen weil sie nicht nur zahlungswirksam sondern auch erfolgswirksam sind (d.h. sie verändern das Ergebnis - Gewinn oder Verlust)
</t>
        </r>
      </text>
    </comment>
    <comment ref="A9" authorId="1" xr:uid="{9B535F7F-7001-6361-A1B5-D14391AC019A}">
      <text>
        <r>
          <rPr>
            <b/>
            <sz val="9"/>
            <rFont val="Tahoma"/>
          </rPr>
          <t xml:space="preserve">Hinterholzer Stefan:</t>
        </r>
        <r>
          <rPr>
            <sz val="9"/>
            <rFont val="Tahoma"/>
          </rPr>
          <t xml:space="preserve">
Sie heißen deshalb Erfolgszahlungen weil sie nicht nur zahlungswirksam sondern auch erfolgswirksam sind (d.h. sie verändern das Ergebnis - Gewinn oder Verlust)
</t>
        </r>
      </text>
    </comment>
  </commentList>
</comments>
</file>

<file path=xl/sharedStrings.xml><?xml version="1.0" encoding="utf-8"?>
<sst xmlns="http://schemas.openxmlformats.org/spreadsheetml/2006/main" count="60" uniqueCount="60">
  <si>
    <t>UE08.1</t>
  </si>
  <si>
    <t xml:space="preserve">in €</t>
  </si>
  <si>
    <t xml:space="preserve">Variante 1</t>
  </si>
  <si>
    <t xml:space="preserve">Variante 2</t>
  </si>
  <si>
    <r>
      <t xml:space="preserve">Anschaffungswert (I</t>
    </r>
    <r>
      <rPr>
        <vertAlign val="subscript"/>
        <sz val="11"/>
        <color theme="1"/>
        <rFont val="Calibri"/>
        <scheme val="minor"/>
      </rPr>
      <t>0</t>
    </r>
    <r>
      <rPr>
        <sz val="11"/>
        <color theme="1"/>
        <rFont val="Calibri"/>
        <scheme val="minor"/>
      </rPr>
      <t>)</t>
    </r>
  </si>
  <si>
    <t xml:space="preserve">Nutzungsdauer (Jahre)</t>
  </si>
  <si>
    <t xml:space="preserve">Gewinn Jahr 1</t>
  </si>
  <si>
    <t xml:space="preserve">Gewinn Jahr 2</t>
  </si>
  <si>
    <t xml:space="preserve">Gewinn Jahr 3</t>
  </si>
  <si>
    <t xml:space="preserve">Gewinn Jahr 4</t>
  </si>
  <si>
    <t xml:space="preserve">Gewinn Jahr 5</t>
  </si>
  <si>
    <t xml:space="preserve">Cashflow Jahr 1</t>
  </si>
  <si>
    <t xml:space="preserve">Cashflow Jahr 2</t>
  </si>
  <si>
    <t xml:space="preserve">Cashflow Jahr 3</t>
  </si>
  <si>
    <t xml:space="preserve">Cashflow Jahr 4</t>
  </si>
  <si>
    <t xml:space="preserve">Cashflow Jahr 5</t>
  </si>
  <si>
    <t xml:space="preserve">avg Cashflow / year</t>
  </si>
  <si>
    <t xml:space="preserve">Statische Amortisation</t>
  </si>
  <si>
    <t>UE08.2</t>
  </si>
  <si>
    <t>Einheit</t>
  </si>
  <si>
    <r>
      <t xml:space="preserve">"Anschaffungswert (I</t>
    </r>
    <r>
      <rPr>
        <vertAlign val="subscript"/>
        <sz val="11"/>
        <color theme="1"/>
        <rFont val="Calibri"/>
        <scheme val="minor"/>
      </rPr>
      <t>0</t>
    </r>
    <r>
      <rPr>
        <sz val="11"/>
        <color theme="1"/>
        <rFont val="Calibri"/>
        <scheme val="minor"/>
      </rPr>
      <t>)"</t>
    </r>
  </si>
  <si>
    <t>Nutzungsdauer</t>
  </si>
  <si>
    <t>Jahre</t>
  </si>
  <si>
    <t>Einzahlungen</t>
  </si>
  <si>
    <t>€/Stück</t>
  </si>
  <si>
    <t xml:space="preserve">gesamte Menge pro Jahr</t>
  </si>
  <si>
    <t>Stück</t>
  </si>
  <si>
    <t xml:space="preserve">Fixe Auszahlungen </t>
  </si>
  <si>
    <t>€/Jahr</t>
  </si>
  <si>
    <t xml:space="preserve">variable Auszahlungen</t>
  </si>
  <si>
    <t xml:space="preserve">Einzahlungen (Erfolgszahlungen)</t>
  </si>
  <si>
    <t xml:space="preserve">-Auszahlungen (Erfolgszahlungen)</t>
  </si>
  <si>
    <t xml:space="preserve">Cash Flow</t>
  </si>
  <si>
    <t>Amortisationszeit</t>
  </si>
  <si>
    <t>UE08.3</t>
  </si>
  <si>
    <t xml:space="preserve">Anschaffungswert 100k</t>
  </si>
  <si>
    <t>t1</t>
  </si>
  <si>
    <t>t2</t>
  </si>
  <si>
    <t>t3</t>
  </si>
  <si>
    <t>t4</t>
  </si>
  <si>
    <t>t5</t>
  </si>
  <si>
    <t xml:space="preserve">Auszahlungen (Erfolgszahlungen)</t>
  </si>
  <si>
    <t xml:space="preserve">Ermittlung Cashflow</t>
  </si>
  <si>
    <t>Jahr</t>
  </si>
  <si>
    <t>Zinssatz</t>
  </si>
  <si>
    <t xml:space="preserve">Diskontierter Cashflow</t>
  </si>
  <si>
    <t xml:space="preserve">Summe diskontierter Cashflow</t>
  </si>
  <si>
    <t>Anschaffungswert</t>
  </si>
  <si>
    <t>Kapitalwert</t>
  </si>
  <si>
    <t>UE08.4</t>
  </si>
  <si>
    <r>
      <t>t</t>
    </r>
    <r>
      <rPr>
        <vertAlign val="subscript"/>
        <sz val="11"/>
        <color theme="1"/>
        <rFont val="Calibri"/>
        <scheme val="minor"/>
      </rPr>
      <t>1</t>
    </r>
  </si>
  <si>
    <r>
      <t>t</t>
    </r>
    <r>
      <rPr>
        <vertAlign val="subscript"/>
        <sz val="11"/>
        <color theme="1"/>
        <rFont val="Calibri"/>
        <scheme val="minor"/>
      </rPr>
      <t>2</t>
    </r>
    <r>
      <rPr>
        <sz val="11"/>
        <color theme="1"/>
        <rFont val="Calibri"/>
        <scheme val="minor"/>
      </rPr>
      <t/>
    </r>
  </si>
  <si>
    <r>
      <t>t</t>
    </r>
    <r>
      <rPr>
        <vertAlign val="subscript"/>
        <sz val="11"/>
        <color theme="1"/>
        <rFont val="Calibri"/>
        <scheme val="minor"/>
      </rPr>
      <t>3</t>
    </r>
    <r>
      <rPr>
        <sz val="11"/>
        <color theme="1"/>
        <rFont val="Calibri"/>
        <scheme val="minor"/>
      </rPr>
      <t/>
    </r>
  </si>
  <si>
    <r>
      <t>t</t>
    </r>
    <r>
      <rPr>
        <vertAlign val="subscript"/>
        <sz val="11"/>
        <color theme="1"/>
        <rFont val="Calibri"/>
        <scheme val="minor"/>
      </rPr>
      <t>4</t>
    </r>
    <r>
      <rPr>
        <sz val="11"/>
        <color theme="1"/>
        <rFont val="Calibri"/>
        <scheme val="minor"/>
      </rPr>
      <t/>
    </r>
  </si>
  <si>
    <r>
      <t>t</t>
    </r>
    <r>
      <rPr>
        <vertAlign val="subscript"/>
        <sz val="11"/>
        <color theme="1"/>
        <rFont val="Calibri"/>
        <scheme val="minor"/>
      </rPr>
      <t>5</t>
    </r>
    <r>
      <rPr>
        <sz val="11"/>
        <color theme="1"/>
        <rFont val="Calibri"/>
        <scheme val="minor"/>
      </rPr>
      <t/>
    </r>
  </si>
  <si>
    <r>
      <t>t</t>
    </r>
    <r>
      <rPr>
        <vertAlign val="subscript"/>
        <sz val="11"/>
        <color theme="1"/>
        <rFont val="Calibri"/>
        <scheme val="minor"/>
      </rPr>
      <t>6</t>
    </r>
    <r>
      <rPr>
        <sz val="11"/>
        <color theme="1"/>
        <rFont val="Calibri"/>
        <scheme val="minor"/>
      </rPr>
      <t/>
    </r>
  </si>
  <si>
    <r>
      <t>t</t>
    </r>
    <r>
      <rPr>
        <vertAlign val="subscript"/>
        <sz val="11"/>
        <color theme="1"/>
        <rFont val="Calibri"/>
        <scheme val="minor"/>
      </rPr>
      <t>7</t>
    </r>
    <r>
      <rPr>
        <sz val="11"/>
        <color theme="1"/>
        <rFont val="Calibri"/>
        <scheme val="minor"/>
      </rPr>
      <t/>
    </r>
  </si>
  <si>
    <r>
      <t>t</t>
    </r>
    <r>
      <rPr>
        <vertAlign val="subscript"/>
        <sz val="11"/>
        <color theme="1"/>
        <rFont val="Calibri"/>
        <scheme val="minor"/>
      </rPr>
      <t>8</t>
    </r>
    <r>
      <rPr>
        <sz val="11"/>
        <color theme="1"/>
        <rFont val="Calibri"/>
        <scheme val="minor"/>
      </rPr>
      <t/>
    </r>
  </si>
  <si>
    <t xml:space="preserve">Jährlicher Cashflow</t>
  </si>
  <si>
    <t>UE08.5</t>
  </si>
</sst>
</file>

<file path=xl/styles.xml><?xml version="1.0" encoding="utf-8"?>
<styleSheet xmlns="http://schemas.openxmlformats.org/spreadsheetml/2006/main" xmlns:mc="http://schemas.openxmlformats.org/markup-compatibility/2006" xmlns:x14="http://schemas.microsoft.com/office/spreadsheetml/2009/9/main" xmlns:x14ac="http://schemas.microsoft.com/office/spreadsheetml/2009/9/ac" xmlns:x16r2="http://schemas.microsoft.com/office/spreadsheetml/2015/02/main" mc:Ignorable="x14ac x16r2">
  <numFmts count="3">
    <numFmt numFmtId="164" formatCode="_-&quot;€&quot;\ * #,##0_-;\-&quot;€&quot;\ * #,##0_-;_-&quot;€&quot;\ * &quot;-&quot;_-;_-@_-"/>
    <numFmt numFmtId="165" formatCode="_-&quot;€&quot;\ * #,##0.00_-;\-&quot;€&quot;\ * #,##0.00_-;_-&quot;€&quot;\ * &quot;-&quot;??_-;_-@_-"/>
    <numFmt numFmtId="166" formatCode="&quot;€&quot;\ #,##0"/>
  </numFmts>
  <fonts count="3">
    <font>
      <sz val="11.000000"/>
      <color theme="1"/>
      <name val="Calibri"/>
      <scheme val="minor"/>
    </font>
    <font>
      <b/>
      <sz val="11.000000"/>
      <color theme="0"/>
      <name val="Calibri"/>
      <scheme val="minor"/>
    </font>
    <font>
      <sz val="11.000000"/>
      <color indexed="2"/>
      <name val="Calibri"/>
      <scheme val="minor"/>
    </font>
  </fonts>
  <fills count="6">
    <fill>
      <patternFill patternType="none"/>
    </fill>
    <fill>
      <patternFill patternType="gray125"/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1"/>
      </patternFill>
    </fill>
    <fill>
      <patternFill patternType="solid">
        <fgColor theme="4"/>
        <bgColor theme="4"/>
      </patternFill>
    </fill>
  </fills>
  <borders count="4">
    <border>
      <left style="none"/>
      <right style="none"/>
      <top style="none"/>
      <bottom style="none"/>
      <diagonal style="none"/>
    </border>
    <border>
      <left style="none"/>
      <right style="none"/>
      <top style="thin">
        <color theme="4" tint="0.39997558519241921"/>
      </top>
      <bottom style="thin">
        <color theme="4" tint="0.39997558519241921"/>
      </bottom>
      <diagonal style="none"/>
    </border>
    <border>
      <left style="none"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 style="none"/>
    </border>
    <border>
      <left style="none"/>
      <right style="none"/>
      <top style="none"/>
      <bottom style="thin">
        <color auto="1"/>
      </bottom>
      <diagonal style="none"/>
    </border>
  </borders>
  <cellStyleXfs count="3">
    <xf fontId="0" fillId="0" borderId="0" numFmtId="0" applyNumberFormat="1" applyFont="1" applyFill="1" applyBorder="1"/>
    <xf fontId="0" fillId="2" borderId="0" numFmtId="0" applyNumberFormat="0" applyFont="1" applyFill="1" applyBorder="0" applyProtection="0"/>
    <xf fontId="0" fillId="3" borderId="0" numFmtId="0" applyNumberFormat="0" applyFont="1" applyFill="1" applyBorder="0" applyProtection="0"/>
  </cellStyleXfs>
  <cellXfs count="21">
    <xf fontId="0" fillId="0" borderId="0" numFmtId="0" xfId="0"/>
    <xf fontId="1" fillId="4" borderId="0" numFmtId="0" xfId="0" applyFont="1" applyFill="1"/>
    <xf fontId="0" fillId="0" borderId="0" numFmtId="164" xfId="0" applyNumberFormat="1"/>
    <xf fontId="0" fillId="0" borderId="0" numFmtId="0" xfId="0"/>
    <xf fontId="0" fillId="0" borderId="0" numFmtId="3" xfId="0" applyNumberFormat="1"/>
    <xf fontId="0" fillId="0" borderId="0" numFmtId="165" xfId="0" applyNumberFormat="1"/>
    <xf fontId="1" fillId="5" borderId="1" numFmtId="0" xfId="0" applyFont="1" applyFill="1" applyBorder="1"/>
    <xf fontId="1" fillId="5" borderId="2" numFmtId="0" xfId="0" applyFont="1" applyFill="1" applyBorder="1"/>
    <xf fontId="0" fillId="0" borderId="3" numFmtId="0" xfId="0" applyBorder="1" quotePrefix="1"/>
    <xf fontId="0" fillId="0" borderId="3" numFmtId="0" xfId="0" applyBorder="1"/>
    <xf fontId="0" fillId="0" borderId="3" numFmtId="165" xfId="0" applyNumberFormat="1" applyBorder="1"/>
    <xf fontId="2" fillId="0" borderId="0" numFmtId="0" xfId="0" applyFont="1"/>
    <xf fontId="0" fillId="0" borderId="0" numFmtId="0" xfId="0">
      <protection hidden="0" locked="1"/>
    </xf>
    <xf fontId="0" fillId="0" borderId="0" numFmtId="0" xfId="0">
      <protection hidden="0" locked="1"/>
    </xf>
    <xf fontId="0" fillId="0" borderId="0" numFmtId="10" xfId="0" applyNumberFormat="1"/>
    <xf fontId="0" fillId="0" borderId="0" numFmtId="1" xfId="0" applyNumberFormat="1"/>
    <xf fontId="0" fillId="0" borderId="0" numFmtId="166" xfId="0" applyNumberFormat="1"/>
    <xf fontId="0" fillId="3" borderId="0" numFmtId="166" xfId="2" applyNumberFormat="1" applyFill="1"/>
    <xf fontId="0" fillId="2" borderId="0" numFmtId="0" xfId="1" applyFill="1"/>
    <xf fontId="0" fillId="2" borderId="0" numFmtId="166" xfId="1" applyNumberFormat="1" applyFill="1"/>
    <xf fontId="0" fillId="0" borderId="0" numFmtId="9" xfId="0" applyNumberFormat="1"/>
  </cellXfs>
  <cellStyles count="3">
    <cellStyle name="20% - Accent1" xfId="1" builtinId="30"/>
    <cellStyle name="40% - Accent1" xfId="2" builtinId="31"/>
    <cellStyle name="Normal" xfId="0" builtinId="0"/>
  </cellStyles>
  <dxfs count="9">
    <dxf>
      <numFmt numFmtId="164" formatCode="_-&quot;€&quot;\ * #,##0_-;\-&quot;€&quot;\ * #,##0_-;_-&quot;€&quot;\ * &quot;-&quot;_-;_-@_-"/>
    </dxf>
    <dxf>
      <numFmt numFmtId="164" formatCode="_-&quot;€&quot;\ * #,##0_-;\-&quot;€&quot;\ * #,##0_-;_-&quot;€&quot;\ * &quot;-&quot;_-;_-@_-"/>
    </dxf>
    <dxf>
      <numFmt numFmtId="164" formatCode="_-&quot;€&quot;\ * #,##0_-;\-&quot;€&quot;\ * #,##0_-;_-&quot;€&quot;\ * &quot;-&quot;_-;_-@_-"/>
    </dxf>
    <dxf>
      <numFmt numFmtId="164" formatCode="_-&quot;€&quot;\ * #,##0_-;\-&quot;€&quot;\ * #,##0_-;_-&quot;€&quot;\ * &quot;-&quot;_-;_-@_-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 Id="rId1" Type="http://schemas.microsoft.com/office/2017/10/relationships/person" Target="persons/person.xml"/><Relationship  Id="rId2" Type="http://schemas.openxmlformats.org/officeDocument/2006/relationships/worksheet" Target="worksheets/sheet1.xml"/><Relationship  Id="rId3" Type="http://schemas.openxmlformats.org/officeDocument/2006/relationships/worksheet" Target="worksheets/sheet2.xml"/><Relationship  Id="rId4" Type="http://schemas.openxmlformats.org/officeDocument/2006/relationships/worksheet" Target="worksheets/sheet3.xml"/><Relationship  Id="rId5" Type="http://schemas.openxmlformats.org/officeDocument/2006/relationships/worksheet" Target="worksheets/sheet4.xml"/><Relationship  Id="rId6" Type="http://schemas.openxmlformats.org/officeDocument/2006/relationships/worksheet" Target="worksheets/sheet5.xml"/><Relationship  Id="rId7" Type="http://schemas.openxmlformats.org/officeDocument/2006/relationships/theme" Target="theme/theme1.xml"/><Relationship  Id="rId8" Type="http://schemas.openxmlformats.org/officeDocument/2006/relationships/sharedStrings" Target="sharedStrings.xml"/><Relationship  Id="rId9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Hinterholzer Stefan" id="{73A8AD53-9BED-515D-C891-AFD4EE022FEB}" userId="S::P20016@fhooe.at::6a077e09-2621-4617-a214-6a0ae6f4ad8b" providerId="AD"/>
</personList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displayName="Table1" ref="A3:C10">
  <autoFilter ref="A3:C10"/>
  <tableColumns count="3">
    <tableColumn id="1" name="in €"/>
    <tableColumn id="2" name="Variante 1" dataDxfId="0"/>
    <tableColumn id="3" name="Variante 2" dataDxfId="1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displayName="Table13" ref="A3:D9">
  <autoFilter ref="A3:D9"/>
  <tableColumns count="4">
    <tableColumn id="1" name="in €"/>
    <tableColumn id="2" name="Einheit"/>
    <tableColumn id="3" name="Variante 1" dataDxfId="2"/>
    <tableColumn id="4" name="Variante 2" dataDxfId="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displayName="Table3" ref="A3:F5">
  <autoFilter ref="A3:F5"/>
  <tableColumns count="6">
    <tableColumn id="1" name="Jahre"/>
    <tableColumn id="2" name="t1" dataDxfId="4"/>
    <tableColumn id="3" name="t2" dataDxfId="5"/>
    <tableColumn id="4" name="t3" dataDxfId="6"/>
    <tableColumn id="5" name="t4" dataDxfId="7"/>
    <tableColumn id="6" name="t5" dataDxfId="8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displayName="Table2" ref="A8:F11">
  <autoFilter ref="A8:F11"/>
  <tableColumns count="6">
    <tableColumn id="1" name="Ermittlung Cashflow"/>
    <tableColumn id="2" name="t1"/>
    <tableColumn id="3" name="t2"/>
    <tableColumn id="4" name="t3"/>
    <tableColumn id="5" name="t4"/>
    <tableColumn id="6" name="t5"/>
  </tableColumns>
  <tableStyleInfo name="TableStyleMedium2" showFirstColumn="0" showLastColumn="0" showRowStripes="1" showColumnStripes="0"/>
</table>
</file>

<file path=xl/theme/theme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4" dT="2025-05-27T07:35:55.71Z" personId="{73A8AD53-9BED-515D-C891-AFD4EE022FEB}" id="{FBADFD58-0062-460C-B478-BF0E1A561B1D}" done="0">
    <text xml:space="preserve">Sie heißen deshalb Erfolgszahlungen weil sie nicht nur zahlungswirksam sondern auch erfolgswirksam sind (d.h. sie verändern das Ergebnis - Gewinn oder Verlust)
</text>
  </threadedComment>
  <threadedComment ref="A9" dT="2025-05-27T07:35:55.71Z" personId="{73A8AD53-9BED-515D-C891-AFD4EE022FEB}" id="{9B535F7F-7001-6361-A1B5-D14391AC019A}" done="0">
    <text xml:space="preserve">Sie heißen deshalb Erfolgszahlungen weil sie nicht nur zahlungswirksam sondern auch erfolgswirksam sind (d.h. sie verändern das Ergebnis - Gewinn oder Verlust)
</text>
  </threadedComment>
</ThreadedComments>
</file>

<file path=xl/worksheets/_rels/sheet1.xml.rels><?xml version="1.0" encoding="UTF-8" standalone="yes"?><Relationships xmlns="http://schemas.openxmlformats.org/package/2006/relationships"><Relationship  Id="rId1" Type="http://schemas.openxmlformats.org/officeDocument/2006/relationships/table" Target="../tables/table1.xml"/></Relationships>
</file>

<file path=xl/worksheets/_rels/sheet2.xml.rels><?xml version="1.0" encoding="UTF-8" standalone="yes"?><Relationships xmlns="http://schemas.openxmlformats.org/package/2006/relationships"><Relationship  Id="rId1" Type="http://schemas.openxmlformats.org/officeDocument/2006/relationships/table" Target="../tables/table2.xml"/></Relationships>
</file>

<file path=xl/worksheets/_rels/sheet3.xml.rels><?xml version="1.0" encoding="UTF-8" standalone="yes"?><Relationships xmlns="http://schemas.openxmlformats.org/package/2006/relationships"><Relationship  Id="rId1" Type="http://schemas.microsoft.com/office/2017/10/relationships/threadedComment" Target="../threadedComments/threadedComment1.xml"/><Relationship  Id="rId2" Type="http://schemas.openxmlformats.org/officeDocument/2006/relationships/comments" Target="../comments1.xml"/><Relationship  Id="rId3" Type="http://schemas.openxmlformats.org/officeDocument/2006/relationships/vmlDrawing" Target="../drawings/vmlDrawing1.vml"/><Relationship  Id="rId4" Type="http://schemas.openxmlformats.org/officeDocument/2006/relationships/table" Target="../tables/table3.xml"/><Relationship  Id="rId5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A1" activeCellId="0" sqref="A1"/>
    </sheetView>
  </sheetViews>
  <sheetFormatPr defaultRowHeight="14.25"/>
  <cols>
    <col customWidth="1" min="1" max="1" width="21.33203125"/>
    <col customWidth="1" min="2" max="2" width="17.109375"/>
    <col customWidth="1" min="3" max="3" width="18.109375"/>
  </cols>
  <sheetData>
    <row r="1">
      <c r="A1" s="1" t="s">
        <v>0</v>
      </c>
    </row>
    <row r="3">
      <c r="A3" t="s">
        <v>1</v>
      </c>
      <c r="B3" t="s">
        <v>2</v>
      </c>
      <c r="C3" t="s">
        <v>3</v>
      </c>
    </row>
    <row r="4" ht="15.6">
      <c r="A4" t="s">
        <v>4</v>
      </c>
      <c r="B4" s="2">
        <v>100000</v>
      </c>
      <c r="C4" s="2">
        <v>100000</v>
      </c>
    </row>
    <row r="5">
      <c r="A5" t="s">
        <v>5</v>
      </c>
      <c r="B5">
        <v>5</v>
      </c>
      <c r="C5">
        <v>5</v>
      </c>
    </row>
    <row r="6">
      <c r="A6" t="s">
        <v>6</v>
      </c>
      <c r="B6" s="2">
        <v>5000</v>
      </c>
      <c r="C6" s="2">
        <v>20000</v>
      </c>
    </row>
    <row r="7">
      <c r="A7" t="s">
        <v>7</v>
      </c>
      <c r="B7" s="2">
        <v>10000</v>
      </c>
      <c r="C7" s="2">
        <v>15000</v>
      </c>
    </row>
    <row r="8">
      <c r="A8" t="s">
        <v>8</v>
      </c>
      <c r="B8" s="2">
        <v>15000</v>
      </c>
      <c r="C8" s="2">
        <v>5000</v>
      </c>
    </row>
    <row r="9">
      <c r="A9" t="s">
        <v>9</v>
      </c>
      <c r="B9" s="2">
        <v>15000</v>
      </c>
      <c r="C9" s="2">
        <v>5000</v>
      </c>
    </row>
    <row r="10">
      <c r="A10" t="s">
        <v>10</v>
      </c>
      <c r="B10" s="2">
        <v>20000</v>
      </c>
      <c r="C10" s="2">
        <v>5000</v>
      </c>
    </row>
    <row r="12" ht="14.25">
      <c r="A12" t="s">
        <v>11</v>
      </c>
      <c r="B12" s="2">
        <f>B6+$B$4/$B$5</f>
        <v>25000</v>
      </c>
      <c r="C12" s="2">
        <f>C6+$C$4/$C$5</f>
        <v>40000</v>
      </c>
    </row>
    <row r="13" ht="14.25">
      <c r="A13" s="3" t="s">
        <v>12</v>
      </c>
      <c r="B13" s="2">
        <f>B7+$B$4/$B$5</f>
        <v>30000</v>
      </c>
      <c r="C13" s="2">
        <f>C7+$C$4/$C$5</f>
        <v>35000</v>
      </c>
    </row>
    <row r="14" ht="14.25">
      <c r="A14" s="3" t="s">
        <v>13</v>
      </c>
      <c r="B14" s="2">
        <f>B8+$B$4/$B$5</f>
        <v>35000</v>
      </c>
      <c r="C14" s="2">
        <f>C8+$C$4/$C$5</f>
        <v>25000</v>
      </c>
    </row>
    <row r="15" ht="14.25">
      <c r="A15" s="3" t="s">
        <v>14</v>
      </c>
      <c r="B15" s="2">
        <f>B9+$B$4/$B$5</f>
        <v>35000</v>
      </c>
      <c r="C15" s="2">
        <f>C9+$C$4/$C$5</f>
        <v>25000</v>
      </c>
    </row>
    <row r="16" ht="14.25">
      <c r="A16" s="3" t="s">
        <v>15</v>
      </c>
      <c r="B16" s="2">
        <f>B10+$B$4/$B$5</f>
        <v>40000</v>
      </c>
      <c r="C16" s="2">
        <f>C10+$C$4/$C$5</f>
        <v>25000</v>
      </c>
    </row>
    <row r="18" ht="14.25">
      <c r="A18" t="s">
        <v>16</v>
      </c>
      <c r="B18" s="2">
        <f>AVERAGE(B12:B16)</f>
        <v>33000</v>
      </c>
      <c r="C18" s="2">
        <f>AVERAGE(C12:C16)</f>
        <v>30000</v>
      </c>
    </row>
    <row r="20" ht="14.25">
      <c r="A20" t="s">
        <v>17</v>
      </c>
      <c r="B20">
        <f>B4/B18</f>
        <v>3.0303030303030303</v>
      </c>
      <c r="C20">
        <f>C4/C18</f>
        <v>3.3333333333333335</v>
      </c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1200" verticalDpi="1200" copies="1"/>
  <headerFooter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A1" activeCellId="0" sqref="A1"/>
    </sheetView>
  </sheetViews>
  <sheetFormatPr defaultRowHeight="14.25"/>
  <cols>
    <col customWidth="1" min="1" max="1" width="29.109375"/>
    <col customWidth="1" min="2" max="2" width="13.33203125"/>
    <col bestFit="1" customWidth="1" min="3" max="4" width="13.22265625"/>
  </cols>
  <sheetData>
    <row r="1">
      <c r="A1" s="1" t="s">
        <v>18</v>
      </c>
      <c r="B1" s="1"/>
    </row>
    <row r="3">
      <c r="A3" t="s">
        <v>1</v>
      </c>
      <c r="B3" t="s">
        <v>19</v>
      </c>
      <c r="C3" t="s">
        <v>2</v>
      </c>
      <c r="D3" t="s">
        <v>3</v>
      </c>
    </row>
    <row r="4" ht="15.6">
      <c r="A4" t="s">
        <v>20</v>
      </c>
      <c r="C4" s="2">
        <v>200000</v>
      </c>
      <c r="D4" s="2">
        <v>100000</v>
      </c>
    </row>
    <row r="5">
      <c r="A5" t="s">
        <v>21</v>
      </c>
      <c r="B5" t="s">
        <v>22</v>
      </c>
      <c r="C5">
        <v>10</v>
      </c>
      <c r="D5">
        <v>10</v>
      </c>
    </row>
    <row r="6">
      <c r="A6" t="s">
        <v>23</v>
      </c>
      <c r="B6" t="s">
        <v>24</v>
      </c>
      <c r="C6" s="2">
        <v>15</v>
      </c>
      <c r="D6" s="2">
        <v>20</v>
      </c>
    </row>
    <row r="7">
      <c r="A7" t="s">
        <v>25</v>
      </c>
      <c r="B7" t="s">
        <v>26</v>
      </c>
      <c r="C7" s="4">
        <v>20000</v>
      </c>
      <c r="D7" s="4">
        <v>15000</v>
      </c>
    </row>
    <row r="8">
      <c r="A8" t="s">
        <v>27</v>
      </c>
      <c r="B8" t="s">
        <v>28</v>
      </c>
      <c r="C8" s="2">
        <v>20000</v>
      </c>
      <c r="D8" s="2">
        <v>30000</v>
      </c>
    </row>
    <row r="9">
      <c r="A9" t="s">
        <v>29</v>
      </c>
      <c r="B9" t="s">
        <v>24</v>
      </c>
      <c r="C9" s="5">
        <v>12.5</v>
      </c>
      <c r="D9" s="5">
        <v>15</v>
      </c>
    </row>
    <row r="11">
      <c r="C11" s="6" t="s">
        <v>2</v>
      </c>
      <c r="D11" s="7" t="s">
        <v>3</v>
      </c>
    </row>
    <row r="12">
      <c r="A12" t="s">
        <v>30</v>
      </c>
      <c r="C12">
        <f>C6*C7</f>
        <v>300000</v>
      </c>
      <c r="D12">
        <f>D6*D7</f>
        <v>300000</v>
      </c>
    </row>
    <row r="13">
      <c r="A13" s="8" t="s">
        <v>31</v>
      </c>
      <c r="B13" s="9"/>
      <c r="C13" s="10">
        <f>C9*C7+C8</f>
        <v>270000</v>
      </c>
      <c r="D13" s="10">
        <f>D9*D7+D8</f>
        <v>255000</v>
      </c>
    </row>
    <row r="14" ht="14.25">
      <c r="A14" s="11" t="s">
        <v>32</v>
      </c>
      <c r="C14">
        <f>C12-C13</f>
        <v>30000</v>
      </c>
      <c r="D14">
        <f>D12-D13</f>
        <v>45000</v>
      </c>
    </row>
    <row r="16" ht="14.25">
      <c r="A16" t="s">
        <v>33</v>
      </c>
      <c r="C16">
        <f>C4/C14</f>
        <v>6.666666666666667</v>
      </c>
      <c r="D16">
        <f>D4/D14</f>
        <v>2.2222222222222223</v>
      </c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1200" verticalDpi="1200" copies="1"/>
  <headerFooter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A9" activeCellId="0" sqref="A9"/>
    </sheetView>
  </sheetViews>
  <sheetFormatPr defaultRowHeight="14.25"/>
  <cols>
    <col customWidth="1" min="1" max="1" width="30.5546875"/>
  </cols>
  <sheetData>
    <row r="1">
      <c r="A1" s="1" t="s">
        <v>34</v>
      </c>
      <c r="C1" t="s">
        <v>35</v>
      </c>
    </row>
    <row r="2">
      <c r="A2" s="1"/>
    </row>
    <row r="3" ht="15.6">
      <c r="A3" t="s">
        <v>22</v>
      </c>
      <c r="B3" t="s">
        <v>36</v>
      </c>
      <c r="C3" t="s">
        <v>37</v>
      </c>
      <c r="D3" t="s">
        <v>38</v>
      </c>
      <c r="E3" t="s">
        <v>39</v>
      </c>
      <c r="F3" t="s">
        <v>40</v>
      </c>
    </row>
    <row r="4">
      <c r="A4" t="s">
        <v>41</v>
      </c>
      <c r="B4" s="4">
        <v>85000</v>
      </c>
      <c r="C4" s="4">
        <v>70000</v>
      </c>
      <c r="D4" s="4">
        <v>70000</v>
      </c>
      <c r="E4" s="4">
        <v>65000</v>
      </c>
      <c r="F4" s="4">
        <v>80000</v>
      </c>
    </row>
    <row r="5">
      <c r="A5" t="s">
        <v>30</v>
      </c>
      <c r="B5" s="4">
        <v>110000</v>
      </c>
      <c r="C5" s="4">
        <v>95000</v>
      </c>
      <c r="D5" s="4">
        <v>105000</v>
      </c>
      <c r="E5" s="4">
        <v>100000</v>
      </c>
      <c r="F5" s="4">
        <v>90000</v>
      </c>
    </row>
    <row r="8" ht="14.25">
      <c r="A8" s="12" t="s">
        <v>42</v>
      </c>
      <c r="B8" s="13" t="s">
        <v>36</v>
      </c>
      <c r="C8" s="13" t="s">
        <v>37</v>
      </c>
      <c r="D8" s="13" t="s">
        <v>38</v>
      </c>
      <c r="E8" s="13" t="s">
        <v>39</v>
      </c>
      <c r="F8" s="13" t="s">
        <v>40</v>
      </c>
    </row>
    <row r="9" ht="14.25">
      <c r="A9" s="13" t="s">
        <v>41</v>
      </c>
      <c r="B9" s="4">
        <f>B5-B4</f>
        <v>25000</v>
      </c>
      <c r="C9" s="4">
        <f>C5-C4</f>
        <v>25000</v>
      </c>
      <c r="D9" s="4">
        <f>D5-D4</f>
        <v>35000</v>
      </c>
      <c r="E9" s="4">
        <f>E5-E4</f>
        <v>35000</v>
      </c>
      <c r="F9" s="4">
        <f>F5-F4</f>
        <v>10000</v>
      </c>
    </row>
    <row r="10" ht="14.25">
      <c r="A10" s="12" t="s">
        <v>43</v>
      </c>
      <c r="B10" s="4">
        <v>1</v>
      </c>
      <c r="C10" s="4">
        <v>2</v>
      </c>
      <c r="D10" s="4">
        <v>3</v>
      </c>
      <c r="E10" s="4">
        <v>4</v>
      </c>
      <c r="F10" s="4">
        <v>5</v>
      </c>
    </row>
    <row r="11" ht="14.25">
      <c r="A11" t="s">
        <v>44</v>
      </c>
      <c r="B11" s="14">
        <v>0.080000000000000002</v>
      </c>
    </row>
    <row r="14" ht="14.25">
      <c r="A14" t="s">
        <v>45</v>
      </c>
      <c r="B14" s="15">
        <f>B9/(1+$B$11)^B10</f>
        <v>23148.148148148146</v>
      </c>
      <c r="C14" s="15">
        <f>C9/(1+$B$11)^C10</f>
        <v>21433.470507544578</v>
      </c>
      <c r="D14" s="15">
        <f>D9/(1+$B$11)^D10</f>
        <v>27784.12843570593</v>
      </c>
      <c r="E14" s="15">
        <f>E9/(1+$B$11)^E10</f>
        <v>25726.044847875863</v>
      </c>
      <c r="F14" s="15">
        <f>F9/(1+$B$11)^F10</f>
        <v>6805.8319703375291</v>
      </c>
    </row>
    <row r="16" ht="14.25">
      <c r="A16" t="s">
        <v>46</v>
      </c>
      <c r="B16" s="15">
        <f>SUM(B14:F14)</f>
        <v>104897.62390961206</v>
      </c>
    </row>
    <row r="17" ht="14.25">
      <c r="A17" t="s">
        <v>47</v>
      </c>
      <c r="B17">
        <v>100000</v>
      </c>
    </row>
    <row r="18" ht="14.25">
      <c r="A18" t="s">
        <v>48</v>
      </c>
      <c r="B18" s="15">
        <f>B16-B17</f>
        <v>4897.6239096120553</v>
      </c>
    </row>
    <row r="19" ht="14.25">
      <c r="D19">
        <f>NPV(B11,B9:F9)</f>
        <v>104897.62390961206</v>
      </c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  <legacyDrawing r:id="rId3"/>
  <tableParts count="2">
    <tablePart r:id="rId4"/>
    <tablePart r:id="rId5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M18" activeCellId="0" sqref="M18"/>
    </sheetView>
  </sheetViews>
  <sheetFormatPr defaultRowHeight="14.4"/>
  <cols>
    <col bestFit="1" customWidth="1" min="1" max="1" width="16.88671875"/>
  </cols>
  <sheetData>
    <row r="1">
      <c r="A1" s="1" t="s">
        <v>49</v>
      </c>
    </row>
    <row r="3">
      <c r="A3" t="s">
        <v>47</v>
      </c>
      <c r="B3" s="16">
        <v>200000</v>
      </c>
    </row>
    <row r="4">
      <c r="B4" s="16"/>
    </row>
    <row r="5" ht="15.6">
      <c r="B5" s="17" t="s">
        <v>50</v>
      </c>
      <c r="C5" s="17" t="s">
        <v>51</v>
      </c>
      <c r="D5" s="17" t="s">
        <v>52</v>
      </c>
      <c r="E5" s="17" t="s">
        <v>53</v>
      </c>
      <c r="F5" s="17" t="s">
        <v>54</v>
      </c>
      <c r="G5" s="17" t="s">
        <v>55</v>
      </c>
      <c r="H5" s="17" t="s">
        <v>56</v>
      </c>
      <c r="I5" s="17" t="s">
        <v>57</v>
      </c>
    </row>
    <row r="6">
      <c r="A6" s="18" t="s">
        <v>58</v>
      </c>
      <c r="B6" s="19">
        <v>32000</v>
      </c>
      <c r="C6" s="19">
        <v>32000</v>
      </c>
      <c r="D6" s="19">
        <v>32000</v>
      </c>
      <c r="E6" s="19">
        <v>32000</v>
      </c>
      <c r="F6" s="19">
        <v>32000</v>
      </c>
      <c r="G6" s="19">
        <v>32000</v>
      </c>
      <c r="H6" s="19">
        <v>32000</v>
      </c>
      <c r="I6" s="19">
        <v>32000</v>
      </c>
    </row>
    <row r="8">
      <c r="A8" t="s">
        <v>44</v>
      </c>
      <c r="B8" s="20">
        <v>0.040000000000000001</v>
      </c>
      <c r="C8" s="20">
        <v>0.059999999999999998</v>
      </c>
      <c r="D8" s="20">
        <v>0.080000000000000002</v>
      </c>
      <c r="E8" s="20">
        <v>0.10000000000000001</v>
      </c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A1" activeCellId="0" sqref="A1"/>
    </sheetView>
  </sheetViews>
  <sheetFormatPr defaultRowHeight="14.4"/>
  <cols>
    <col customWidth="1" min="1" max="1" width="12.44140625"/>
    <col customWidth="1" min="2" max="2" width="14"/>
    <col customWidth="1" min="3" max="3" width="11.6640625"/>
  </cols>
  <sheetData>
    <row r="1">
      <c r="A1" s="1" t="s">
        <v>59</v>
      </c>
    </row>
    <row r="3">
      <c r="A3" t="s">
        <v>1</v>
      </c>
      <c r="B3" t="s">
        <v>2</v>
      </c>
      <c r="C3" t="s">
        <v>3</v>
      </c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ONLYOFFICE/9.3.1.8</Application>
  <DocSecurity>0</DocSecurity>
  <ScaleCrop>0</ScaleCrop>
  <HeadingPairs>
    <vt:vector size="0" baseType="variant"/>
  </HeadingPairs>
  <TitlesOfParts>
    <vt:vector size="0" baseType="lpstr"/>
  </TitlesOfParts>
  <Company/>
  <LinksUpToDate>0</LinksUpToDate>
  <SharedDoc>0</SharedDoc>
  <HyperlinksChanged>0</HyperlinksChanged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Hinterholzer Stefan</dc:creator>
  <cp:revision>1</cp:revision>
  <dcterms:created xsi:type="dcterms:W3CDTF">2015-06-05T18:19:34Z</dcterms:created>
  <dcterms:modified xsi:type="dcterms:W3CDTF">2026-06-08T13:20:26Z</dcterms:modified>
</cp:coreProperties>
</file>
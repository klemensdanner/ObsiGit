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UE 08.1" sheetId="1" state="visible" r:id="rId3"/>
    <sheet name="UE 08.2" sheetId="2" state="visible" r:id="rId4"/>
    <sheet name="UE 08.3." sheetId="3" state="visible" r:id="rId5"/>
    <sheet name="UE 08.4." sheetId="4" state="visible" r:id="rId6"/>
    <sheet name="UE 08.5.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tc={9B535F7F-7001-6361-A1B5-D14391AC019A}</author>
    <author>tc={FBADFD58-0062-460C-B478-BF0E1A561B1D}</author>
  </authors>
  <commentList>
    <comment ref="A4" authorId="1">
      <text>
        <r>
          <rPr>
            <sz val="10"/>
            <rFont val="Arial"/>
            <family val="2"/>
          </rPr>
          <t xml:space="preserve">Hinterholzer Stefan:
</t>
        </r>
        <r>
          <rPr>
            <sz val="9"/>
            <rFont val="Tahoma"/>
            <family val="0"/>
            <charset val="1"/>
          </rPr>
          <t xml:space="preserve">Sie heißen deshalb Erfolgszahlungen weil sie nicht nur zahlungswirksam sondern auch erfolgswirksam sind (d.h. sie verändern das Ergebnis - Gewinn oder Verlust)
</t>
        </r>
      </text>
    </comment>
    <comment ref="A9" authorId="0">
      <text>
        <r>
          <rPr>
            <sz val="10"/>
            <rFont val="Arial"/>
            <family val="2"/>
          </rPr>
          <t xml:space="preserve">Hinterholzer Stefan:
</t>
        </r>
        <r>
          <rPr>
            <sz val="9"/>
            <rFont val="Tahoma"/>
            <family val="0"/>
            <charset val="1"/>
          </rPr>
          <t xml:space="preserve">Sie heißen deshalb Erfolgszahlungen weil sie nicht nur zahlungswirksam sondern auch erfolgswirksam sind (d.h. sie verändern das Ergebnis - Gewinn oder Verlust)
</t>
        </r>
      </text>
    </comment>
  </commentList>
</comments>
</file>

<file path=xl/sharedStrings.xml><?xml version="1.0" encoding="utf-8"?>
<sst xmlns="http://schemas.openxmlformats.org/spreadsheetml/2006/main" count="100" uniqueCount="75">
  <si>
    <t xml:space="preserve">UE08.1</t>
  </si>
  <si>
    <t xml:space="preserve">in €</t>
  </si>
  <si>
    <t xml:space="preserve">Variante 1</t>
  </si>
  <si>
    <t xml:space="preserve">Variante 2</t>
  </si>
  <si>
    <r>
      <rPr>
        <sz val="11"/>
        <color theme="1"/>
        <rFont val="Calibri"/>
        <family val="0"/>
        <charset val="1"/>
      </rPr>
      <t xml:space="preserve">Anschaffungswert (I</t>
    </r>
    <r>
      <rPr>
        <vertAlign val="subscript"/>
        <sz val="11"/>
        <color theme="1"/>
        <rFont val="Calibri"/>
        <family val="0"/>
        <charset val="1"/>
      </rPr>
      <t xml:space="preserve">0</t>
    </r>
    <r>
      <rPr>
        <sz val="11"/>
        <color theme="1"/>
        <rFont val="Calibri"/>
        <family val="0"/>
        <charset val="1"/>
      </rPr>
      <t xml:space="preserve">)</t>
    </r>
  </si>
  <si>
    <t xml:space="preserve">Nutzungsdauer (Jahre)</t>
  </si>
  <si>
    <t xml:space="preserve">Gewinn Jahr 1</t>
  </si>
  <si>
    <t xml:space="preserve">Gewinn Jahr 2</t>
  </si>
  <si>
    <t xml:space="preserve">Gewinn Jahr 3</t>
  </si>
  <si>
    <t xml:space="preserve">Gewinn Jahr 4</t>
  </si>
  <si>
    <t xml:space="preserve">Gewinn Jahr 5</t>
  </si>
  <si>
    <t xml:space="preserve">Cashflow Jahr 1</t>
  </si>
  <si>
    <t xml:space="preserve">Cashflow Jahr 2</t>
  </si>
  <si>
    <t xml:space="preserve">Cashflow Jahr 3</t>
  </si>
  <si>
    <t xml:space="preserve">Cashflow Jahr 4</t>
  </si>
  <si>
    <t xml:space="preserve">Cashflow Jahr 5</t>
  </si>
  <si>
    <t xml:space="preserve">avg Cashflow / year</t>
  </si>
  <si>
    <t xml:space="preserve">Statische Amortisation</t>
  </si>
  <si>
    <t xml:space="preserve">UE08.2</t>
  </si>
  <si>
    <t xml:space="preserve">Einheit</t>
  </si>
  <si>
    <r>
      <rPr>
        <sz val="11"/>
        <color theme="1"/>
        <rFont val="Calibri"/>
        <family val="0"/>
        <charset val="1"/>
      </rPr>
      <t xml:space="preserve">"Anschaffungswert (I</t>
    </r>
    <r>
      <rPr>
        <vertAlign val="subscript"/>
        <sz val="11"/>
        <color theme="1"/>
        <rFont val="Calibri"/>
        <family val="0"/>
        <charset val="1"/>
      </rPr>
      <t xml:space="preserve">0</t>
    </r>
    <r>
      <rPr>
        <sz val="11"/>
        <color theme="1"/>
        <rFont val="Calibri"/>
        <family val="0"/>
        <charset val="1"/>
      </rPr>
      <t xml:space="preserve">)"</t>
    </r>
  </si>
  <si>
    <t xml:space="preserve">Nutzungsdauer</t>
  </si>
  <si>
    <t xml:space="preserve">Jahre</t>
  </si>
  <si>
    <t xml:space="preserve">Einzahlungen</t>
  </si>
  <si>
    <t xml:space="preserve">€/Stück</t>
  </si>
  <si>
    <t xml:space="preserve">gesamte Menge pro Jahr</t>
  </si>
  <si>
    <t xml:space="preserve">Stück</t>
  </si>
  <si>
    <t xml:space="preserve">Fixe Auszahlungen </t>
  </si>
  <si>
    <t xml:space="preserve">€/Jahr</t>
  </si>
  <si>
    <t xml:space="preserve">variable Auszahlungen</t>
  </si>
  <si>
    <t xml:space="preserve">Einzahlungen (Erfolgszahlungen)</t>
  </si>
  <si>
    <t xml:space="preserve">-Auszahlungen (Erfolgszahlungen)</t>
  </si>
  <si>
    <t xml:space="preserve">Cash Flow</t>
  </si>
  <si>
    <t xml:space="preserve">Amortisationszeit</t>
  </si>
  <si>
    <t xml:space="preserve">UE08.3</t>
  </si>
  <si>
    <t xml:space="preserve">Anschaffungswert 100k</t>
  </si>
  <si>
    <t xml:space="preserve">t1</t>
  </si>
  <si>
    <t xml:space="preserve">t2</t>
  </si>
  <si>
    <t xml:space="preserve">t3</t>
  </si>
  <si>
    <t xml:space="preserve">t4</t>
  </si>
  <si>
    <t xml:space="preserve">t5</t>
  </si>
  <si>
    <t xml:space="preserve">Auszahlungen (Erfolgszahlungen)</t>
  </si>
  <si>
    <t xml:space="preserve">Ermittlung Cashflow</t>
  </si>
  <si>
    <t xml:space="preserve">Jahr</t>
  </si>
  <si>
    <t xml:space="preserve">Zinssatz</t>
  </si>
  <si>
    <t xml:space="preserve">Diskontierter Cashflow</t>
  </si>
  <si>
    <t xml:space="preserve">Summe diskontierter Cashflow</t>
  </si>
  <si>
    <t xml:space="preserve">Anschaffungswert</t>
  </si>
  <si>
    <t xml:space="preserve">Kapitalwert</t>
  </si>
  <si>
    <t xml:space="preserve">UE08.4</t>
  </si>
  <si>
    <r>
      <rPr>
        <sz val="11"/>
        <color theme="1"/>
        <rFont val="Calibri"/>
        <family val="0"/>
        <charset val="1"/>
      </rPr>
      <t xml:space="preserve">t</t>
    </r>
    <r>
      <rPr>
        <vertAlign val="subscript"/>
        <sz val="11"/>
        <color theme="1"/>
        <rFont val="Calibri"/>
        <family val="0"/>
        <charset val="1"/>
      </rPr>
      <t xml:space="preserve">1</t>
    </r>
  </si>
  <si>
    <r>
      <rPr>
        <sz val="11"/>
        <color theme="1"/>
        <rFont val="Calibri"/>
        <family val="0"/>
        <charset val="1"/>
      </rPr>
      <t xml:space="preserve">t</t>
    </r>
    <r>
      <rPr>
        <vertAlign val="subscript"/>
        <sz val="11"/>
        <color theme="1"/>
        <rFont val="Calibri"/>
        <family val="0"/>
        <charset val="1"/>
      </rPr>
      <t xml:space="preserve">2</t>
    </r>
  </si>
  <si>
    <r>
      <rPr>
        <sz val="11"/>
        <color theme="1"/>
        <rFont val="Calibri"/>
        <family val="0"/>
        <charset val="1"/>
      </rPr>
      <t xml:space="preserve">t</t>
    </r>
    <r>
      <rPr>
        <vertAlign val="subscript"/>
        <sz val="11"/>
        <color theme="1"/>
        <rFont val="Calibri"/>
        <family val="0"/>
        <charset val="1"/>
      </rPr>
      <t xml:space="preserve">3</t>
    </r>
  </si>
  <si>
    <r>
      <rPr>
        <sz val="11"/>
        <color theme="1"/>
        <rFont val="Calibri"/>
        <family val="0"/>
        <charset val="1"/>
      </rPr>
      <t xml:space="preserve">t</t>
    </r>
    <r>
      <rPr>
        <vertAlign val="subscript"/>
        <sz val="11"/>
        <color theme="1"/>
        <rFont val="Calibri"/>
        <family val="0"/>
        <charset val="1"/>
      </rPr>
      <t xml:space="preserve">4</t>
    </r>
  </si>
  <si>
    <r>
      <rPr>
        <sz val="11"/>
        <color theme="1"/>
        <rFont val="Calibri"/>
        <family val="0"/>
        <charset val="1"/>
      </rPr>
      <t xml:space="preserve">t</t>
    </r>
    <r>
      <rPr>
        <vertAlign val="subscript"/>
        <sz val="11"/>
        <color theme="1"/>
        <rFont val="Calibri"/>
        <family val="0"/>
        <charset val="1"/>
      </rPr>
      <t xml:space="preserve">5</t>
    </r>
  </si>
  <si>
    <r>
      <rPr>
        <sz val="11"/>
        <color theme="1"/>
        <rFont val="Calibri"/>
        <family val="0"/>
        <charset val="1"/>
      </rPr>
      <t xml:space="preserve">t</t>
    </r>
    <r>
      <rPr>
        <vertAlign val="subscript"/>
        <sz val="11"/>
        <color theme="1"/>
        <rFont val="Calibri"/>
        <family val="0"/>
        <charset val="1"/>
      </rPr>
      <t xml:space="preserve">6</t>
    </r>
  </si>
  <si>
    <r>
      <rPr>
        <sz val="11"/>
        <color theme="1"/>
        <rFont val="Calibri"/>
        <family val="0"/>
        <charset val="1"/>
      </rPr>
      <t xml:space="preserve">t</t>
    </r>
    <r>
      <rPr>
        <vertAlign val="subscript"/>
        <sz val="11"/>
        <color theme="1"/>
        <rFont val="Calibri"/>
        <family val="0"/>
        <charset val="1"/>
      </rPr>
      <t xml:space="preserve">7</t>
    </r>
  </si>
  <si>
    <r>
      <rPr>
        <sz val="11"/>
        <color theme="1"/>
        <rFont val="Calibri"/>
        <family val="0"/>
        <charset val="1"/>
      </rPr>
      <t xml:space="preserve">t</t>
    </r>
    <r>
      <rPr>
        <vertAlign val="subscript"/>
        <sz val="11"/>
        <color theme="1"/>
        <rFont val="Calibri"/>
        <family val="0"/>
        <charset val="1"/>
      </rPr>
      <t xml:space="preserve">8</t>
    </r>
  </si>
  <si>
    <t xml:space="preserve">Jährlicher Cashflow</t>
  </si>
  <si>
    <t xml:space="preserve">Nettobarwert</t>
  </si>
  <si>
    <t xml:space="preserve">Berücksichtigung Liquiditionserlös</t>
  </si>
  <si>
    <t xml:space="preserve">NBW + Liquiditionserlös</t>
  </si>
  <si>
    <t xml:space="preserve">Interpretation: Ohne Berücksichtigung des Liquiditionserlös lohnt sich die Investition nur bei 4% Zinsen.</t>
  </si>
  <si>
    <t xml:space="preserve">Ansonsten lohnt sich die Investition bei 4, 6, und 8% Zinsen, jedoch nicht bei 10 % Zinsen.</t>
  </si>
  <si>
    <t xml:space="preserve">Unterschied Nettobarwert und Barwert</t>
  </si>
  <si>
    <t xml:space="preserve">UE08.5</t>
  </si>
  <si>
    <t xml:space="preserve">Liquidiationserlös</t>
  </si>
  <si>
    <t xml:space="preserve">Cashflow Jahr 6</t>
  </si>
  <si>
    <t xml:space="preserve">// Cashflow + Liquiditionserlös</t>
  </si>
  <si>
    <t xml:space="preserve">Effektivverzinsung</t>
  </si>
  <si>
    <t xml:space="preserve">NBW (als Test)</t>
  </si>
  <si>
    <t xml:space="preserve">b)</t>
  </si>
  <si>
    <t xml:space="preserve">Variante 2 ist besser. Dadurch dass der interne Zinsfuß höher ist, ist der Gesamtgewinn höher.</t>
  </si>
  <si>
    <t xml:space="preserve">Das ist vor allem deshalb so, weil die Cashflows bei Variante 2 eher in den ersten Jahren gemacht werden,</t>
  </si>
  <si>
    <t xml:space="preserve">dadurch werden diese Cashflows weniger abgezinst.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</si>
</sst>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_-&quot;€ &quot;* #,##0_-;&quot;-€ &quot;* #,##0_-;_-&quot;€ &quot;* \-_-;_-@_-"/>
    <numFmt numFmtId="166" formatCode="#,##0"/>
    <numFmt numFmtId="167" formatCode="_-&quot;€ &quot;* #,##0.00_-;&quot;-€ &quot;* #,##0.00_-;_-&quot;€ &quot;* \-??_-;_-@_-"/>
    <numFmt numFmtId="168" formatCode="0.00%"/>
    <numFmt numFmtId="169" formatCode="0"/>
    <numFmt numFmtId="170" formatCode="&quot;€ &quot;#,##0"/>
    <numFmt numFmtId="171" formatCode="0%"/>
    <numFmt numFmtId="172" formatCode="_-* #,##0.00\ [$€-407]_-;\-* #,##0.00\ [$€-407]_-;_-* \-??\ [$€-407]_-;_-@_-"/>
    <numFmt numFmtId="173" formatCode="#,##0.00\ [$€-407]"/>
  </numFmts>
  <fonts count="9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0"/>
      <name val="Calibri"/>
      <family val="0"/>
      <charset val="1"/>
    </font>
    <font>
      <vertAlign val="subscript"/>
      <sz val="11"/>
      <color theme="1"/>
      <name val="Calibri"/>
      <family val="0"/>
      <charset val="1"/>
    </font>
    <font>
      <sz val="11"/>
      <color rgb="FFFF0000"/>
      <name val="Calibri"/>
      <family val="0"/>
      <charset val="1"/>
    </font>
    <font>
      <sz val="10"/>
      <name val="Arial"/>
      <family val="2"/>
    </font>
    <font>
      <sz val="9"/>
      <name val="Tahom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theme="4" tint="0.5999"/>
        <bgColor rgb="FFC0C0C0"/>
      </patternFill>
    </fill>
    <fill>
      <patternFill patternType="solid">
        <fgColor theme="4" tint="0.7999"/>
        <bgColor rgb="FFCCFFFF"/>
      </patternFill>
    </fill>
    <fill>
      <patternFill patternType="solid">
        <fgColor theme="1"/>
        <bgColor rgb="FF003300"/>
      </patternFill>
    </fill>
    <fill>
      <patternFill patternType="solid">
        <fgColor theme="4"/>
        <bgColor rgb="FF969696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 style="thin">
        <color theme="4" tint="0.3999"/>
      </top>
      <bottom style="thin">
        <color theme="4" tint="0.3999"/>
      </bottom>
      <diagonal/>
    </border>
    <border diagonalUp="false" diagonalDown="false">
      <left/>
      <right style="thin">
        <color theme="4" tint="0.3999"/>
      </right>
      <top style="thin">
        <color theme="4" tint="0.3999"/>
      </top>
      <bottom style="thin">
        <color theme="4" tint="0.3999"/>
      </bottom>
      <diagonal/>
    </border>
    <border diagonalUp="false" diagonalDown="false">
      <left/>
      <right/>
      <top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2" borderId="0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3" borderId="0" xfId="21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3" borderId="0" xfId="21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40% - Accent1" xfId="20"/>
    <cellStyle name="Excel Built-in 20% - Accent1" xfId="21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DE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3:C10" headerRowCount="1" totalsRowCount="0" totalsRowShown="0">
  <autoFilter ref="A3:C10"/>
  <tableColumns count="3">
    <tableColumn id="1" name="in €"/>
    <tableColumn id="2" name="Variante 1"/>
    <tableColumn id="3" name="Variante 2"/>
  </tableColumns>
</table>
</file>

<file path=xl/tables/table2.xml><?xml version="1.0" encoding="utf-8"?>
<table xmlns="http://schemas.openxmlformats.org/spreadsheetml/2006/main" id="2" name="Table13" displayName="Table13" ref="A3:D9" headerRowCount="1" totalsRowCount="0" totalsRowShown="0">
  <autoFilter ref="A3:D9"/>
  <tableColumns count="4">
    <tableColumn id="1" name="in €"/>
    <tableColumn id="2" name="Einheit"/>
    <tableColumn id="3" name="Variante 1"/>
    <tableColumn id="4" name="Variante 2"/>
  </tableColumns>
</table>
</file>

<file path=xl/tables/table3.xml><?xml version="1.0" encoding="utf-8"?>
<table xmlns="http://schemas.openxmlformats.org/spreadsheetml/2006/main" id="3" name="Table2" displayName="Table2" ref="A8:F11" headerRowCount="1" totalsRowCount="0" totalsRowShown="0">
  <autoFilter ref="A8:F11"/>
  <tableColumns count="6">
    <tableColumn id="1" name="Ermittlung Cashflow"/>
    <tableColumn id="2" name="t1"/>
    <tableColumn id="3" name="t2"/>
    <tableColumn id="4" name="t3"/>
    <tableColumn id="5" name="t4"/>
    <tableColumn id="6" name="t5"/>
  </tableColumns>
</table>
</file>

<file path=xl/tables/table4.xml><?xml version="1.0" encoding="utf-8"?>
<table xmlns="http://schemas.openxmlformats.org/spreadsheetml/2006/main" id="4" name="Table3" displayName="Table3" ref="A3:F5" headerRowCount="1" totalsRowCount="0" totalsRowShown="0">
  <autoFilter ref="A3:F5"/>
  <tableColumns count="6">
    <tableColumn id="1" name="Jahre"/>
    <tableColumn id="2" name="t1"/>
    <tableColumn id="3" name="t2"/>
    <tableColumn id="4" name="t3"/>
    <tableColumn id="5" name="t4"/>
    <tableColumn id="6" name="t5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3.xml"/><Relationship Id="rId4" Type="http://schemas.openxmlformats.org/officeDocument/2006/relationships/table" Target="../tables/table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21.33"/>
    <col collapsed="false" customWidth="true" hidden="false" outlineLevel="0" max="2" min="2" style="0" width="17.11"/>
    <col collapsed="false" customWidth="true" hidden="false" outlineLevel="0" max="3" min="3" style="0" width="18.11"/>
  </cols>
  <sheetData>
    <row r="1" customFormat="false" ht="14.25" hidden="false" customHeight="false" outlineLevel="0" collapsed="false">
      <c r="A1" s="1" t="s">
        <v>0</v>
      </c>
    </row>
    <row r="3" customFormat="false" ht="14.25" hidden="false" customHeight="false" outlineLevel="0" collapsed="false">
      <c r="A3" s="2" t="s">
        <v>1</v>
      </c>
      <c r="B3" s="2" t="s">
        <v>2</v>
      </c>
      <c r="C3" s="2" t="s">
        <v>3</v>
      </c>
    </row>
    <row r="4" customFormat="false" ht="14.9" hidden="false" customHeight="false" outlineLevel="0" collapsed="false">
      <c r="A4" s="0" t="s">
        <v>4</v>
      </c>
      <c r="B4" s="3" t="n">
        <v>100000</v>
      </c>
      <c r="C4" s="3" t="n">
        <v>100000</v>
      </c>
    </row>
    <row r="5" customFormat="false" ht="14.25" hidden="false" customHeight="false" outlineLevel="0" collapsed="false">
      <c r="A5" s="0" t="s">
        <v>5</v>
      </c>
      <c r="B5" s="0" t="n">
        <v>5</v>
      </c>
      <c r="C5" s="0" t="n">
        <v>5</v>
      </c>
    </row>
    <row r="6" customFormat="false" ht="14.25" hidden="false" customHeight="false" outlineLevel="0" collapsed="false">
      <c r="A6" s="0" t="s">
        <v>6</v>
      </c>
      <c r="B6" s="3" t="n">
        <v>5000</v>
      </c>
      <c r="C6" s="3" t="n">
        <v>20000</v>
      </c>
    </row>
    <row r="7" customFormat="false" ht="14.25" hidden="false" customHeight="false" outlineLevel="0" collapsed="false">
      <c r="A7" s="0" t="s">
        <v>7</v>
      </c>
      <c r="B7" s="3" t="n">
        <v>10000</v>
      </c>
      <c r="C7" s="3" t="n">
        <v>15000</v>
      </c>
    </row>
    <row r="8" customFormat="false" ht="14.25" hidden="false" customHeight="false" outlineLevel="0" collapsed="false">
      <c r="A8" s="0" t="s">
        <v>8</v>
      </c>
      <c r="B8" s="3" t="n">
        <v>15000</v>
      </c>
      <c r="C8" s="3" t="n">
        <v>5000</v>
      </c>
    </row>
    <row r="9" customFormat="false" ht="14.25" hidden="false" customHeight="false" outlineLevel="0" collapsed="false">
      <c r="A9" s="0" t="s">
        <v>9</v>
      </c>
      <c r="B9" s="3" t="n">
        <v>15000</v>
      </c>
      <c r="C9" s="3" t="n">
        <v>5000</v>
      </c>
    </row>
    <row r="10" customFormat="false" ht="14.25" hidden="false" customHeight="false" outlineLevel="0" collapsed="false">
      <c r="A10" s="0" t="s">
        <v>10</v>
      </c>
      <c r="B10" s="3" t="n">
        <v>20000</v>
      </c>
      <c r="C10" s="3" t="n">
        <v>5000</v>
      </c>
    </row>
    <row r="12" customFormat="false" ht="14.25" hidden="false" customHeight="false" outlineLevel="0" collapsed="false">
      <c r="A12" s="0" t="s">
        <v>11</v>
      </c>
      <c r="B12" s="3" t="n">
        <f aca="false">B6+$B$4/$B$5</f>
        <v>25000</v>
      </c>
      <c r="C12" s="3" t="n">
        <f aca="false">C6+$C$4/$C$5</f>
        <v>40000</v>
      </c>
    </row>
    <row r="13" customFormat="false" ht="14.25" hidden="false" customHeight="false" outlineLevel="0" collapsed="false">
      <c r="A13" s="2" t="s">
        <v>12</v>
      </c>
      <c r="B13" s="3" t="n">
        <f aca="false">B7+$B$4/$B$5</f>
        <v>30000</v>
      </c>
      <c r="C13" s="3" t="n">
        <f aca="false">C7+$C$4/$C$5</f>
        <v>35000</v>
      </c>
    </row>
    <row r="14" customFormat="false" ht="14.25" hidden="false" customHeight="false" outlineLevel="0" collapsed="false">
      <c r="A14" s="2" t="s">
        <v>13</v>
      </c>
      <c r="B14" s="3" t="n">
        <f aca="false">B8+$B$4/$B$5</f>
        <v>35000</v>
      </c>
      <c r="C14" s="3" t="n">
        <f aca="false">C8+$C$4/$C$5</f>
        <v>25000</v>
      </c>
    </row>
    <row r="15" customFormat="false" ht="14.25" hidden="false" customHeight="false" outlineLevel="0" collapsed="false">
      <c r="A15" s="2" t="s">
        <v>14</v>
      </c>
      <c r="B15" s="3" t="n">
        <f aca="false">B9+$B$4/$B$5</f>
        <v>35000</v>
      </c>
      <c r="C15" s="3" t="n">
        <f aca="false">C9+$C$4/$C$5</f>
        <v>25000</v>
      </c>
    </row>
    <row r="16" customFormat="false" ht="14.25" hidden="false" customHeight="false" outlineLevel="0" collapsed="false">
      <c r="A16" s="2" t="s">
        <v>15</v>
      </c>
      <c r="B16" s="3" t="n">
        <f aca="false">B10+$B$4/$B$5</f>
        <v>40000</v>
      </c>
      <c r="C16" s="3" t="n">
        <f aca="false">C10+$C$4/$C$5</f>
        <v>25000</v>
      </c>
    </row>
    <row r="18" customFormat="false" ht="14.25" hidden="false" customHeight="false" outlineLevel="0" collapsed="false">
      <c r="A18" s="0" t="s">
        <v>16</v>
      </c>
      <c r="B18" s="3" t="n">
        <f aca="false">AVERAGE(B12:B16)</f>
        <v>33000</v>
      </c>
      <c r="C18" s="3" t="n">
        <f aca="false">AVERAGE(C12:C16)</f>
        <v>30000</v>
      </c>
    </row>
    <row r="20" customFormat="false" ht="14.25" hidden="false" customHeight="false" outlineLevel="0" collapsed="false">
      <c r="A20" s="0" t="s">
        <v>17</v>
      </c>
      <c r="B20" s="0" t="n">
        <f aca="false">B4/B18</f>
        <v>3.03030303030303</v>
      </c>
      <c r="C20" s="0" t="n">
        <f aca="false">C4/C18</f>
        <v>3.33333333333333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29.11"/>
    <col collapsed="false" customWidth="true" hidden="false" outlineLevel="0" max="2" min="2" style="0" width="13.34"/>
    <col collapsed="false" customWidth="true" hidden="false" outlineLevel="0" max="4" min="3" style="0" width="13.22"/>
  </cols>
  <sheetData>
    <row r="1" customFormat="false" ht="14.25" hidden="false" customHeight="false" outlineLevel="0" collapsed="false">
      <c r="A1" s="1" t="s">
        <v>18</v>
      </c>
      <c r="B1" s="1"/>
    </row>
    <row r="3" customFormat="false" ht="14.25" hidden="false" customHeight="false" outlineLevel="0" collapsed="false">
      <c r="A3" s="2" t="s">
        <v>1</v>
      </c>
      <c r="B3" s="2" t="s">
        <v>19</v>
      </c>
      <c r="C3" s="2" t="s">
        <v>2</v>
      </c>
      <c r="D3" s="2" t="s">
        <v>3</v>
      </c>
    </row>
    <row r="4" customFormat="false" ht="14.9" hidden="false" customHeight="false" outlineLevel="0" collapsed="false">
      <c r="A4" s="0" t="s">
        <v>20</v>
      </c>
      <c r="C4" s="3" t="n">
        <v>200000</v>
      </c>
      <c r="D4" s="3" t="n">
        <v>100000</v>
      </c>
    </row>
    <row r="5" customFormat="false" ht="14.25" hidden="false" customHeight="false" outlineLevel="0" collapsed="false">
      <c r="A5" s="0" t="s">
        <v>21</v>
      </c>
      <c r="B5" s="0" t="s">
        <v>22</v>
      </c>
      <c r="C5" s="0" t="n">
        <v>10</v>
      </c>
      <c r="D5" s="0" t="n">
        <v>10</v>
      </c>
    </row>
    <row r="6" customFormat="false" ht="14.25" hidden="false" customHeight="false" outlineLevel="0" collapsed="false">
      <c r="A6" s="0" t="s">
        <v>23</v>
      </c>
      <c r="B6" s="0" t="s">
        <v>24</v>
      </c>
      <c r="C6" s="3" t="n">
        <v>15</v>
      </c>
      <c r="D6" s="3" t="n">
        <v>20</v>
      </c>
    </row>
    <row r="7" customFormat="false" ht="14.25" hidden="false" customHeight="false" outlineLevel="0" collapsed="false">
      <c r="A7" s="0" t="s">
        <v>25</v>
      </c>
      <c r="B7" s="0" t="s">
        <v>26</v>
      </c>
      <c r="C7" s="4" t="n">
        <v>20000</v>
      </c>
      <c r="D7" s="4" t="n">
        <v>15000</v>
      </c>
    </row>
    <row r="8" customFormat="false" ht="14.25" hidden="false" customHeight="false" outlineLevel="0" collapsed="false">
      <c r="A8" s="0" t="s">
        <v>27</v>
      </c>
      <c r="B8" s="0" t="s">
        <v>28</v>
      </c>
      <c r="C8" s="3" t="n">
        <v>20000</v>
      </c>
      <c r="D8" s="3" t="n">
        <v>30000</v>
      </c>
    </row>
    <row r="9" customFormat="false" ht="14.25" hidden="false" customHeight="false" outlineLevel="0" collapsed="false">
      <c r="A9" s="0" t="s">
        <v>29</v>
      </c>
      <c r="B9" s="0" t="s">
        <v>24</v>
      </c>
      <c r="C9" s="5" t="n">
        <v>12.5</v>
      </c>
      <c r="D9" s="5" t="n">
        <v>15</v>
      </c>
    </row>
    <row r="11" customFormat="false" ht="14.25" hidden="false" customHeight="false" outlineLevel="0" collapsed="false">
      <c r="C11" s="6" t="s">
        <v>2</v>
      </c>
      <c r="D11" s="7" t="s">
        <v>3</v>
      </c>
    </row>
    <row r="12" customFormat="false" ht="14.25" hidden="false" customHeight="false" outlineLevel="0" collapsed="false">
      <c r="A12" s="0" t="s">
        <v>30</v>
      </c>
      <c r="C12" s="0" t="n">
        <f aca="false">C6*C7</f>
        <v>300000</v>
      </c>
      <c r="D12" s="0" t="n">
        <f aca="false">D6*D7</f>
        <v>300000</v>
      </c>
    </row>
    <row r="13" customFormat="false" ht="14.25" hidden="false" customHeight="false" outlineLevel="0" collapsed="false">
      <c r="A13" s="8" t="s">
        <v>31</v>
      </c>
      <c r="B13" s="8"/>
      <c r="C13" s="9" t="n">
        <f aca="false">C9*C7+C8</f>
        <v>270000</v>
      </c>
      <c r="D13" s="9" t="n">
        <f aca="false">D9*D7+D8</f>
        <v>255000</v>
      </c>
    </row>
    <row r="14" customFormat="false" ht="14.25" hidden="false" customHeight="false" outlineLevel="0" collapsed="false">
      <c r="A14" s="10" t="s">
        <v>32</v>
      </c>
      <c r="C14" s="0" t="n">
        <f aca="false">C12-C13</f>
        <v>30000</v>
      </c>
      <c r="D14" s="0" t="n">
        <f aca="false">D12-D13</f>
        <v>45000</v>
      </c>
    </row>
    <row r="16" customFormat="false" ht="14.25" hidden="false" customHeight="false" outlineLevel="0" collapsed="false">
      <c r="A16" s="0" t="s">
        <v>33</v>
      </c>
      <c r="C16" s="0" t="n">
        <f aca="false">C4/C14</f>
        <v>6.66666666666667</v>
      </c>
      <c r="D16" s="0" t="n">
        <f aca="false">D4/D14</f>
        <v>2.22222222222222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30.56"/>
  </cols>
  <sheetData>
    <row r="1" customFormat="false" ht="14.25" hidden="false" customHeight="false" outlineLevel="0" collapsed="false">
      <c r="A1" s="1" t="s">
        <v>34</v>
      </c>
      <c r="C1" s="0" t="s">
        <v>35</v>
      </c>
    </row>
    <row r="2" customFormat="false" ht="14.25" hidden="false" customHeight="false" outlineLevel="0" collapsed="false">
      <c r="A2" s="1"/>
    </row>
    <row r="3" customFormat="false" ht="14.25" hidden="false" customHeight="false" outlineLevel="0" collapsed="false">
      <c r="A3" s="2" t="s">
        <v>22</v>
      </c>
      <c r="B3" s="2" t="s">
        <v>36</v>
      </c>
      <c r="C3" s="2" t="s">
        <v>37</v>
      </c>
      <c r="D3" s="2" t="s">
        <v>38</v>
      </c>
      <c r="E3" s="2" t="s">
        <v>39</v>
      </c>
      <c r="F3" s="2" t="s">
        <v>40</v>
      </c>
    </row>
    <row r="4" customFormat="false" ht="14.25" hidden="false" customHeight="false" outlineLevel="0" collapsed="false">
      <c r="A4" s="0" t="s">
        <v>41</v>
      </c>
      <c r="B4" s="4" t="n">
        <v>85000</v>
      </c>
      <c r="C4" s="4" t="n">
        <v>70000</v>
      </c>
      <c r="D4" s="4" t="n">
        <v>70000</v>
      </c>
      <c r="E4" s="4" t="n">
        <v>65000</v>
      </c>
      <c r="F4" s="4" t="n">
        <v>80000</v>
      </c>
    </row>
    <row r="5" customFormat="false" ht="14.25" hidden="false" customHeight="false" outlineLevel="0" collapsed="false">
      <c r="A5" s="0" t="s">
        <v>30</v>
      </c>
      <c r="B5" s="4" t="n">
        <v>110000</v>
      </c>
      <c r="C5" s="4" t="n">
        <v>95000</v>
      </c>
      <c r="D5" s="4" t="n">
        <v>105000</v>
      </c>
      <c r="E5" s="4" t="n">
        <v>100000</v>
      </c>
      <c r="F5" s="4" t="n">
        <v>90000</v>
      </c>
    </row>
    <row r="8" customFormat="false" ht="14.25" hidden="false" customHeight="false" outlineLevel="0" collapsed="false">
      <c r="A8" s="11" t="s">
        <v>42</v>
      </c>
      <c r="B8" s="11" t="s">
        <v>36</v>
      </c>
      <c r="C8" s="11" t="s">
        <v>37</v>
      </c>
      <c r="D8" s="11" t="s">
        <v>38</v>
      </c>
      <c r="E8" s="11" t="s">
        <v>39</v>
      </c>
      <c r="F8" s="11" t="s">
        <v>40</v>
      </c>
    </row>
    <row r="9" customFormat="false" ht="14.25" hidden="false" customHeight="false" outlineLevel="0" collapsed="false">
      <c r="A9" s="11" t="s">
        <v>41</v>
      </c>
      <c r="B9" s="4" t="n">
        <f aca="false">B5-B4</f>
        <v>25000</v>
      </c>
      <c r="C9" s="4" t="n">
        <f aca="false">C5-C4</f>
        <v>25000</v>
      </c>
      <c r="D9" s="4" t="n">
        <f aca="false">D5-D4</f>
        <v>35000</v>
      </c>
      <c r="E9" s="4" t="n">
        <f aca="false">E5-E4</f>
        <v>35000</v>
      </c>
      <c r="F9" s="4" t="n">
        <f aca="false">F5-F4</f>
        <v>10000</v>
      </c>
    </row>
    <row r="10" customFormat="false" ht="14.25" hidden="false" customHeight="false" outlineLevel="0" collapsed="false">
      <c r="A10" s="11" t="s">
        <v>43</v>
      </c>
      <c r="B10" s="4" t="n">
        <v>1</v>
      </c>
      <c r="C10" s="4" t="n">
        <v>2</v>
      </c>
      <c r="D10" s="4" t="n">
        <v>3</v>
      </c>
      <c r="E10" s="4" t="n">
        <v>4</v>
      </c>
      <c r="F10" s="4" t="n">
        <v>5</v>
      </c>
    </row>
    <row r="11" customFormat="false" ht="14.25" hidden="false" customHeight="false" outlineLevel="0" collapsed="false">
      <c r="A11" s="0" t="s">
        <v>44</v>
      </c>
      <c r="B11" s="12" t="n">
        <v>0.08</v>
      </c>
    </row>
    <row r="14" customFormat="false" ht="14.25" hidden="false" customHeight="false" outlineLevel="0" collapsed="false">
      <c r="A14" s="0" t="s">
        <v>45</v>
      </c>
      <c r="B14" s="13" t="n">
        <f aca="false">B9/(1+$B$11)^B10</f>
        <v>23148.1481481481</v>
      </c>
      <c r="C14" s="13" t="n">
        <f aca="false">C9/(1+$B$11)^C10</f>
        <v>21433.4705075446</v>
      </c>
      <c r="D14" s="13" t="n">
        <f aca="false">D9/(1+$B$11)^D10</f>
        <v>27784.1284357059</v>
      </c>
      <c r="E14" s="13" t="n">
        <f aca="false">E9/(1+$B$11)^E10</f>
        <v>25726.0448478759</v>
      </c>
      <c r="F14" s="13" t="n">
        <f aca="false">F9/(1+$B$11)^F10</f>
        <v>6805.83197033753</v>
      </c>
    </row>
    <row r="16" customFormat="false" ht="14.25" hidden="false" customHeight="false" outlineLevel="0" collapsed="false">
      <c r="A16" s="0" t="s">
        <v>46</v>
      </c>
      <c r="B16" s="13" t="n">
        <f aca="false">SUM(B14:F14)</f>
        <v>104897.623909612</v>
      </c>
    </row>
    <row r="17" customFormat="false" ht="14.25" hidden="false" customHeight="false" outlineLevel="0" collapsed="false">
      <c r="A17" s="0" t="s">
        <v>47</v>
      </c>
      <c r="B17" s="0" t="n">
        <v>100000</v>
      </c>
    </row>
    <row r="18" customFormat="false" ht="14.25" hidden="false" customHeight="false" outlineLevel="0" collapsed="false">
      <c r="A18" s="0" t="s">
        <v>48</v>
      </c>
      <c r="B18" s="13" t="n">
        <f aca="false">B16-B17</f>
        <v>4897.62390961206</v>
      </c>
    </row>
    <row r="19" customFormat="false" ht="14.25" hidden="false" customHeight="false" outlineLevel="0" collapsed="false">
      <c r="D19" s="0" t="n">
        <f aca="false">NPV(B11,B9:F9)</f>
        <v>104897.623909612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9" activeCellId="0" sqref="E29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29.59"/>
    <col collapsed="false" customWidth="true" hidden="false" outlineLevel="0" max="5" min="2" style="0" width="13.28"/>
  </cols>
  <sheetData>
    <row r="1" customFormat="false" ht="14.25" hidden="false" customHeight="false" outlineLevel="0" collapsed="false">
      <c r="A1" s="1" t="s">
        <v>49</v>
      </c>
    </row>
    <row r="3" customFormat="false" ht="14.25" hidden="false" customHeight="false" outlineLevel="0" collapsed="false">
      <c r="A3" s="0" t="s">
        <v>47</v>
      </c>
      <c r="B3" s="14" t="n">
        <v>200000</v>
      </c>
    </row>
    <row r="4" customFormat="false" ht="14.25" hidden="false" customHeight="false" outlineLevel="0" collapsed="false">
      <c r="B4" s="14"/>
    </row>
    <row r="5" customFormat="false" ht="14.9" hidden="false" customHeight="false" outlineLevel="0" collapsed="false">
      <c r="B5" s="15" t="s">
        <v>50</v>
      </c>
      <c r="C5" s="15" t="s">
        <v>51</v>
      </c>
      <c r="D5" s="15" t="s">
        <v>52</v>
      </c>
      <c r="E5" s="15" t="s">
        <v>53</v>
      </c>
      <c r="F5" s="15" t="s">
        <v>54</v>
      </c>
      <c r="G5" s="15" t="s">
        <v>55</v>
      </c>
      <c r="H5" s="15" t="s">
        <v>56</v>
      </c>
      <c r="I5" s="15" t="s">
        <v>57</v>
      </c>
    </row>
    <row r="6" customFormat="false" ht="14.25" hidden="false" customHeight="false" outlineLevel="0" collapsed="false">
      <c r="A6" s="16" t="s">
        <v>58</v>
      </c>
      <c r="B6" s="17" t="n">
        <v>32000</v>
      </c>
      <c r="C6" s="17" t="n">
        <v>32000</v>
      </c>
      <c r="D6" s="17" t="n">
        <v>32000</v>
      </c>
      <c r="E6" s="17" t="n">
        <v>32000</v>
      </c>
      <c r="F6" s="17" t="n">
        <v>32000</v>
      </c>
      <c r="G6" s="17" t="n">
        <v>32000</v>
      </c>
      <c r="H6" s="17" t="n">
        <v>32000</v>
      </c>
      <c r="I6" s="17" t="n">
        <v>32000</v>
      </c>
      <c r="L6" s="14"/>
    </row>
    <row r="8" customFormat="false" ht="14.25" hidden="false" customHeight="false" outlineLevel="0" collapsed="false">
      <c r="A8" s="0" t="s">
        <v>44</v>
      </c>
      <c r="B8" s="18" t="n">
        <v>0.04</v>
      </c>
      <c r="C8" s="18" t="n">
        <v>0.0583</v>
      </c>
      <c r="D8" s="18" t="n">
        <v>0.08</v>
      </c>
      <c r="E8" s="18" t="n">
        <v>0.1</v>
      </c>
    </row>
    <row r="10" customFormat="false" ht="14.25" hidden="false" customHeight="false" outlineLevel="0" collapsed="false">
      <c r="A10" s="0" t="s">
        <v>59</v>
      </c>
      <c r="B10" s="19" t="n">
        <f aca="false">NPV(B8,$B$6:$I$6)</f>
        <v>215447.835998413</v>
      </c>
      <c r="C10" s="19" t="n">
        <f aca="false">NPV(C8,$B$6:$I$6)</f>
        <v>200057.304817118</v>
      </c>
      <c r="D10" s="19" t="n">
        <f aca="false">NPV(D8,$B$6:$I$6)</f>
        <v>183892.44619921</v>
      </c>
      <c r="E10" s="19" t="n">
        <f aca="false">NPV(E8,$B$6:$I$6)</f>
        <v>170717.638332885</v>
      </c>
    </row>
    <row r="11" customFormat="false" ht="14.25" hidden="false" customHeight="false" outlineLevel="0" collapsed="false">
      <c r="A11" s="0" t="s">
        <v>60</v>
      </c>
      <c r="B11" s="20" t="n">
        <f aca="false">30000/(1+B8)^8</f>
        <v>21920.7061500595</v>
      </c>
      <c r="C11" s="20" t="n">
        <f aca="false">30000/(1+C8)^8</f>
        <v>19065.6179335894</v>
      </c>
      <c r="D11" s="20" t="n">
        <f aca="false">30000/(1+D8)^8</f>
        <v>16208.0665350593</v>
      </c>
      <c r="E11" s="20" t="n">
        <f aca="false">30000/(1+E8)^8</f>
        <v>13995.221406292</v>
      </c>
    </row>
    <row r="12" customFormat="false" ht="14.25" hidden="false" customHeight="false" outlineLevel="0" collapsed="false">
      <c r="A12" s="0" t="s">
        <v>61</v>
      </c>
      <c r="B12" s="19" t="n">
        <f aca="false">SUM(B10:B11)</f>
        <v>237368.542148472</v>
      </c>
      <c r="C12" s="19" t="n">
        <f aca="false">SUM(C10:C11)</f>
        <v>219122.922750707</v>
      </c>
      <c r="D12" s="19" t="n">
        <f aca="false">SUM(D10:D11)</f>
        <v>200100.512734269</v>
      </c>
      <c r="E12" s="19" t="n">
        <f aca="false">SUM(E10:E11)</f>
        <v>184712.859739177</v>
      </c>
    </row>
    <row r="14" customFormat="false" ht="14.25" hidden="false" customHeight="false" outlineLevel="0" collapsed="false">
      <c r="B14" s="0" t="s">
        <v>62</v>
      </c>
    </row>
    <row r="15" customFormat="false" ht="14.25" hidden="false" customHeight="false" outlineLevel="0" collapsed="false">
      <c r="B15" s="0" t="s">
        <v>63</v>
      </c>
    </row>
    <row r="19" customFormat="false" ht="14.25" hidden="false" customHeight="false" outlineLevel="0" collapsed="false">
      <c r="B19" s="0" t="s">
        <v>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17.15"/>
    <col collapsed="false" customWidth="true" hidden="false" outlineLevel="0" max="2" min="2" style="0" width="14"/>
    <col collapsed="false" customWidth="true" hidden="false" outlineLevel="0" max="3" min="3" style="0" width="14.88"/>
  </cols>
  <sheetData>
    <row r="1" customFormat="false" ht="14.25" hidden="false" customHeight="false" outlineLevel="0" collapsed="false">
      <c r="A1" s="1" t="s">
        <v>65</v>
      </c>
    </row>
    <row r="3" customFormat="false" ht="14.25" hidden="false" customHeight="false" outlineLevel="0" collapsed="false">
      <c r="A3" s="0" t="s">
        <v>1</v>
      </c>
      <c r="B3" s="0" t="s">
        <v>2</v>
      </c>
      <c r="C3" s="0" t="s">
        <v>3</v>
      </c>
    </row>
    <row r="6" customFormat="false" ht="14.25" hidden="false" customHeight="false" outlineLevel="0" collapsed="false">
      <c r="A6" s="0" t="s">
        <v>66</v>
      </c>
      <c r="B6" s="20" t="n">
        <v>5000</v>
      </c>
      <c r="C6" s="20" t="n">
        <v>6000</v>
      </c>
    </row>
    <row r="7" customFormat="false" ht="14.25" hidden="false" customHeight="false" outlineLevel="0" collapsed="false">
      <c r="B7" s="20"/>
      <c r="C7" s="20"/>
    </row>
    <row r="8" customFormat="false" ht="14.25" hidden="false" customHeight="false" outlineLevel="0" collapsed="false">
      <c r="A8" s="0" t="s">
        <v>47</v>
      </c>
      <c r="B8" s="20" t="n">
        <v>-100000</v>
      </c>
      <c r="C8" s="20" t="n">
        <v>-100000</v>
      </c>
    </row>
    <row r="9" customFormat="false" ht="14.25" hidden="false" customHeight="false" outlineLevel="0" collapsed="false">
      <c r="A9" s="0" t="s">
        <v>11</v>
      </c>
      <c r="B9" s="20" t="n">
        <v>20000</v>
      </c>
      <c r="C9" s="20" t="n">
        <v>25000</v>
      </c>
    </row>
    <row r="10" customFormat="false" ht="14.25" hidden="false" customHeight="false" outlineLevel="0" collapsed="false">
      <c r="A10" s="2" t="s">
        <v>12</v>
      </c>
      <c r="B10" s="20" t="n">
        <v>20000</v>
      </c>
      <c r="C10" s="21" t="n">
        <v>25000</v>
      </c>
    </row>
    <row r="11" customFormat="false" ht="14.25" hidden="false" customHeight="false" outlineLevel="0" collapsed="false">
      <c r="A11" s="2" t="s">
        <v>13</v>
      </c>
      <c r="B11" s="21" t="n">
        <v>20000</v>
      </c>
      <c r="C11" s="21" t="n">
        <v>23000</v>
      </c>
    </row>
    <row r="12" customFormat="false" ht="14.25" hidden="false" customHeight="false" outlineLevel="0" collapsed="false">
      <c r="A12" s="2" t="s">
        <v>14</v>
      </c>
      <c r="B12" s="21" t="n">
        <v>25000</v>
      </c>
      <c r="C12" s="21" t="n">
        <v>20000</v>
      </c>
    </row>
    <row r="13" customFormat="false" ht="14.25" hidden="false" customHeight="false" outlineLevel="0" collapsed="false">
      <c r="A13" s="2" t="s">
        <v>15</v>
      </c>
      <c r="B13" s="21" t="n">
        <v>25000</v>
      </c>
      <c r="C13" s="21" t="n">
        <v>20000</v>
      </c>
    </row>
    <row r="14" customFormat="false" ht="14.25" hidden="false" customHeight="false" outlineLevel="0" collapsed="false">
      <c r="A14" s="2" t="s">
        <v>67</v>
      </c>
      <c r="B14" s="21" t="n">
        <f aca="false">25000+B6</f>
        <v>30000</v>
      </c>
      <c r="C14" s="21" t="n">
        <f aca="false">25000+C6</f>
        <v>31000</v>
      </c>
      <c r="D14" s="0" t="s">
        <v>68</v>
      </c>
    </row>
    <row r="17" customFormat="false" ht="14.25" hidden="false" customHeight="false" outlineLevel="0" collapsed="false">
      <c r="A17" s="0" t="s">
        <v>69</v>
      </c>
      <c r="B17" s="12" t="n">
        <f aca="false">IRR(B8:B14)</f>
        <v>0.0976765740726298</v>
      </c>
      <c r="C17" s="12" t="n">
        <f aca="false">IRR(C8:C14)</f>
        <v>0.114304711168011</v>
      </c>
    </row>
    <row r="21" customFormat="false" ht="14.25" hidden="false" customHeight="false" outlineLevel="0" collapsed="false">
      <c r="A21" s="0" t="s">
        <v>70</v>
      </c>
      <c r="B21" s="0" t="n">
        <f aca="false">NPV(B17,B9:B14)</f>
        <v>100000</v>
      </c>
      <c r="C21" s="0" t="n">
        <f aca="false">NPV(C17,C9:C14)</f>
        <v>100000</v>
      </c>
    </row>
    <row r="24" customFormat="false" ht="14.25" hidden="false" customHeight="false" outlineLevel="0" collapsed="false">
      <c r="A24" s="0" t="s">
        <v>71</v>
      </c>
      <c r="B24" s="0" t="s">
        <v>72</v>
      </c>
    </row>
    <row r="25" customFormat="false" ht="14.25" hidden="false" customHeight="false" outlineLevel="0" collapsed="false">
      <c r="B25" s="0" t="s">
        <v>73</v>
      </c>
    </row>
    <row r="26" customFormat="false" ht="14.25" hidden="false" customHeight="false" outlineLevel="0" collapsed="false">
      <c r="B26" s="0" t="s">
        <v>74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Hinterholzer Stefan</dc:creator>
  <dc:description/>
  <dc:language>en-GB</dc:language>
  <cp:lastModifiedBy/>
  <dcterms:modified xsi:type="dcterms:W3CDTF">2026-06-22T11:22:39Z</dcterms:modified>
  <cp:revision>3</cp:revision>
  <dc:subject/>
  <dc:title/>
</cp:coreProperties>
</file>
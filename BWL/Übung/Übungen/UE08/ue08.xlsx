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<sst xmlns="http://schemas.openxmlformats.org/spreadsheetml/2006/main" count="27" uniqueCount="27">
  <si>
    <t>a)</t>
  </si>
  <si>
    <t>Umsatz</t>
  </si>
  <si>
    <t>Wareneinsatz</t>
  </si>
  <si>
    <t>Provision</t>
  </si>
  <si>
    <t>Deckungsbeitrag</t>
  </si>
  <si>
    <t xml:space="preserve">Deckungsbeitrag muss genau gleich Fixkosten werden</t>
  </si>
  <si>
    <t xml:space="preserve">d.h. 0.48 * Umsatz = 240k</t>
  </si>
  <si>
    <t>K_f/(p-K_v)</t>
  </si>
  <si>
    <t xml:space="preserve">240.000 / 0.48 =</t>
  </si>
  <si>
    <t>b)</t>
  </si>
  <si>
    <t xml:space="preserve">Betriebsergebnis * 100 / Umsatz = 4</t>
  </si>
  <si>
    <t xml:space="preserve">Betriebsergebnis: Umsatzerlöse - var. Kosten  - Fixkosten</t>
  </si>
  <si>
    <t xml:space="preserve">Betriebsergebnis soll also 4 % des Umsatzes ausmachen, also:</t>
  </si>
  <si>
    <t xml:space="preserve">BE = 0,04 * Umsatz</t>
  </si>
  <si>
    <t xml:space="preserve">db_Gesamt - Fixkosten = Betriebsergebnis</t>
  </si>
  <si>
    <t xml:space="preserve">also: 0,48*Umsatz-Fixkosten=0,04*Umsatz</t>
  </si>
  <si>
    <t xml:space="preserve">/ - 0,04*Umsatz / + Fixkosten</t>
  </si>
  <si>
    <t xml:space="preserve">0,44*Umsatz = Fixkosten</t>
  </si>
  <si>
    <t xml:space="preserve">0,44*Umsatz = 240k</t>
  </si>
  <si>
    <t xml:space="preserve">erforderlicher Umsatz:</t>
  </si>
  <si>
    <t xml:space="preserve">Umsatz = 240k / 0,44 = </t>
  </si>
  <si>
    <t>c)</t>
  </si>
  <si>
    <t xml:space="preserve">Wareneinsatz: Aufschlag = 120 %</t>
  </si>
  <si>
    <t xml:space="preserve">100 / 2,2 = </t>
  </si>
  <si>
    <t xml:space="preserve">Deckungsbeitrag (Umsatz - Prov - Einsatz)</t>
  </si>
  <si>
    <t xml:space="preserve">Umsatz bei 300.000€ wäre also 300.000 * 2,2 =</t>
  </si>
  <si>
    <t xml:space="preserve">Betriebsergebnis wäre dann 660000 * 0,5255 - Fixkosten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</si>
</sst>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_-* #,##0.00\ [$€-407]_-;\-* #,##0.00\ [$€-407]_-;_-* &quot;-&quot;??\ [$€-407]_-;_-@_-"/>
    <numFmt numFmtId="165" formatCode="#,##0.00\ [$€-407]"/>
  </numFmts>
  <fonts count="1">
    <font>
      <sz val="11.00000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8">
    <xf fontId="0" fillId="0" borderId="0" numFmtId="0" xfId="0"/>
    <xf fontId="0" fillId="0" borderId="0" numFmtId="10" xfId="0" applyNumberFormat="1"/>
    <xf fontId="0" fillId="0" borderId="0" numFmtId="0" xfId="0" applyAlignment="1">
      <alignment horizontal="left"/>
    </xf>
    <xf fontId="0" fillId="2" borderId="0" numFmtId="0" xfId="0" applyFill="1"/>
    <xf fontId="0" fillId="2" borderId="0" numFmtId="164" xfId="0" applyNumberFormat="1" applyFill="1"/>
    <xf fontId="0" fillId="0" borderId="0" numFmtId="10" xfId="0" applyNumberFormat="1">
      <protection hidden="0" locked="1"/>
    </xf>
    <xf fontId="0" fillId="0" borderId="0" numFmtId="165" xfId="0" applyNumberFormat="1"/>
    <xf fontId="0" fillId="2" borderId="0" numFmtId="165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zoomScale="100" workbookViewId="0">
      <selection activeCell="A1" activeCellId="0" sqref="A1"/>
    </sheetView>
  </sheetViews>
  <sheetFormatPr defaultRowHeight="14.25"/>
  <cols>
    <col bestFit="1" min="2" max="2" width="53.203125"/>
    <col customWidth="1" min="3" max="3" width="11.00390625"/>
    <col bestFit="1" customWidth="1" min="4" max="4" width="20.0625"/>
    <col customWidth="1" min="5" max="5" width="17.28125"/>
  </cols>
  <sheetData>
    <row r="1" ht="14.25">
      <c r="A1" t="s">
        <v>0</v>
      </c>
    </row>
    <row r="2" ht="14.25">
      <c r="B2" t="s">
        <v>1</v>
      </c>
      <c r="C2" s="1">
        <v>1</v>
      </c>
    </row>
    <row r="3" ht="14.25">
      <c r="B3" t="s">
        <v>2</v>
      </c>
      <c r="C3" s="1">
        <v>0.5</v>
      </c>
    </row>
    <row r="4" ht="14.25">
      <c r="B4" t="s">
        <v>3</v>
      </c>
      <c r="C4" s="1">
        <v>0.02</v>
      </c>
    </row>
    <row r="5" ht="14.25">
      <c r="B5" t="s">
        <v>4</v>
      </c>
      <c r="C5" s="1">
        <v>0.47999999999999998</v>
      </c>
    </row>
    <row r="7" ht="14.25">
      <c r="B7" t="s">
        <v>5</v>
      </c>
    </row>
    <row r="8" ht="14.25">
      <c r="B8" t="s">
        <v>6</v>
      </c>
      <c r="E8" t="s">
        <v>7</v>
      </c>
      <c r="I8" s="2"/>
    </row>
    <row r="9" ht="14.25">
      <c r="B9" t="s">
        <v>8</v>
      </c>
      <c r="C9" s="3">
        <f>240000/0.48</f>
        <v>500000</v>
      </c>
    </row>
    <row r="14" ht="14.25">
      <c r="A14" t="s">
        <v>9</v>
      </c>
    </row>
    <row r="15" ht="14.25">
      <c r="B15" t="s">
        <v>10</v>
      </c>
    </row>
    <row r="16" ht="14.25">
      <c r="B16" t="s">
        <v>11</v>
      </c>
    </row>
    <row r="18" ht="14.25">
      <c r="B18" t="s">
        <v>12</v>
      </c>
    </row>
    <row r="20" ht="14.25">
      <c r="B20" t="s">
        <v>13</v>
      </c>
    </row>
    <row r="24" ht="14.25">
      <c r="B24" t="s">
        <v>14</v>
      </c>
    </row>
    <row r="25" ht="14.25">
      <c r="B25" t="s">
        <v>15</v>
      </c>
      <c r="C25" t="s">
        <v>16</v>
      </c>
    </row>
    <row r="26" ht="14.25">
      <c r="B26" t="s">
        <v>17</v>
      </c>
    </row>
    <row r="27" ht="14.25">
      <c r="B27" t="s">
        <v>18</v>
      </c>
      <c r="D27" t="s">
        <v>19</v>
      </c>
    </row>
    <row r="28" ht="14.25">
      <c r="B28" t="s">
        <v>20</v>
      </c>
      <c r="D28" s="4">
        <f>240000/0.44</f>
        <v>545454.54545454541</v>
      </c>
    </row>
    <row r="32" ht="14.25">
      <c r="A32" t="s">
        <v>21</v>
      </c>
      <c r="B32" t="s">
        <v>14</v>
      </c>
    </row>
    <row r="34" ht="14.25">
      <c r="B34" t="s">
        <v>1</v>
      </c>
      <c r="C34" s="1">
        <v>1</v>
      </c>
      <c r="E34" t="s">
        <v>22</v>
      </c>
    </row>
    <row r="35" ht="14.25">
      <c r="B35" t="s">
        <v>3</v>
      </c>
      <c r="C35" s="1">
        <v>0.02</v>
      </c>
      <c r="E35" t="s">
        <v>23</v>
      </c>
      <c r="F35">
        <f>100/2.2</f>
        <v>45.454545454545453</v>
      </c>
    </row>
    <row r="36" ht="14.25">
      <c r="B36" t="s">
        <v>2</v>
      </c>
      <c r="C36" s="5">
        <f>100/2.2/100</f>
        <v>0.45454545454545453</v>
      </c>
    </row>
    <row r="37" ht="14.25">
      <c r="B37" t="s">
        <v>24</v>
      </c>
      <c r="C37" s="1">
        <f>C34-C35-C36</f>
        <v>0.5254545454545454</v>
      </c>
    </row>
    <row r="38" ht="14.25">
      <c r="C38" s="1"/>
    </row>
    <row r="39" ht="14.25">
      <c r="C39" s="1"/>
    </row>
    <row r="40" ht="14.25">
      <c r="B40" t="s">
        <v>25</v>
      </c>
      <c r="C40" s="1"/>
      <c r="D40" s="6">
        <f>300000*2.2</f>
        <v>660000</v>
      </c>
    </row>
    <row r="41" ht="14.25">
      <c r="B41" t="s">
        <v>26</v>
      </c>
      <c r="D41" s="7">
        <f>D40*C37-240000</f>
        <v>106799.99999999994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85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terms:modified xsi:type="dcterms:W3CDTF">2026-06-08T12:31:46Z</dcterms:modified>
</cp:coreProperties>
</file>
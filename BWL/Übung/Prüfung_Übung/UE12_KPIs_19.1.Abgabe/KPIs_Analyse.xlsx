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drawings/drawing1.xml" ContentType="application/vnd.openxmlformats-officedocument.drawing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<sst xmlns="http://schemas.openxmlformats.org/spreadsheetml/2006/main" count="45" uniqueCount="45">
  <si>
    <t>EK</t>
  </si>
  <si>
    <t xml:space="preserve">Lf Verb.</t>
  </si>
  <si>
    <t>Kf.Verb</t>
  </si>
  <si>
    <t>AV</t>
  </si>
  <si>
    <t>UV</t>
  </si>
  <si>
    <t>FK</t>
  </si>
  <si>
    <t>a)</t>
  </si>
  <si>
    <t>Eigenkapitalquote:</t>
  </si>
  <si>
    <t xml:space="preserve">EK / GK * 100</t>
  </si>
  <si>
    <t xml:space="preserve">EK =</t>
  </si>
  <si>
    <t>GK</t>
  </si>
  <si>
    <t>b)</t>
  </si>
  <si>
    <t xml:space="preserve">Anlagendeckung (Grad II)</t>
  </si>
  <si>
    <t xml:space="preserve">(EK + langfr. Verbindl.)/AV</t>
  </si>
  <si>
    <t>c)</t>
  </si>
  <si>
    <t xml:space="preserve">Verschuldungsgrad (statisch)</t>
  </si>
  <si>
    <t xml:space="preserve">FK / EK</t>
  </si>
  <si>
    <t>d)</t>
  </si>
  <si>
    <t xml:space="preserve">Liquidität Grad I</t>
  </si>
  <si>
    <t xml:space="preserve">Kassa, Bank / kf. Verb</t>
  </si>
  <si>
    <t>e)</t>
  </si>
  <si>
    <t xml:space="preserve">Liquidität Grad 2</t>
  </si>
  <si>
    <t xml:space="preserve">(Cash + Forderungen)/kf. Verb</t>
  </si>
  <si>
    <t>f)</t>
  </si>
  <si>
    <t xml:space="preserve">Working Capital</t>
  </si>
  <si>
    <t xml:space="preserve">kurzfr. UV - kurzfr. Verb.</t>
  </si>
  <si>
    <t>g)</t>
  </si>
  <si>
    <t xml:space="preserve">Liquidität Grad 3</t>
  </si>
  <si>
    <t xml:space="preserve">ges. UV / Verbindl.</t>
  </si>
  <si>
    <t>h)</t>
  </si>
  <si>
    <t xml:space="preserve">operativer Cashflow</t>
  </si>
  <si>
    <t>Effektivverschuldung</t>
  </si>
  <si>
    <t xml:space="preserve">Fremdkap - alles liquide</t>
  </si>
  <si>
    <t>i)</t>
  </si>
  <si>
    <t>Schuldentilgungsdauer</t>
  </si>
  <si>
    <t xml:space="preserve">Effektivverschuldung / Cashflow</t>
  </si>
  <si>
    <t>j)</t>
  </si>
  <si>
    <t>Eigenkapitalrentabilität</t>
  </si>
  <si>
    <t xml:space="preserve">Gewinn / Eigenkapital</t>
  </si>
  <si>
    <t>k)</t>
  </si>
  <si>
    <t>Gesamtkapitalrentabilität</t>
  </si>
  <si>
    <t>(Gewinn+FKZinsen)/(EK+FK)</t>
  </si>
  <si>
    <t>I)</t>
  </si>
  <si>
    <t xml:space="preserve">Umschlagshäufigkeit des Vermögens</t>
  </si>
  <si>
    <t xml:space="preserve">Umsatz / GesKap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</si>
</sst>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4">
    <xf fontId="0" fillId="0" borderId="0" numFmtId="0" xfId="0"/>
    <xf fontId="0" fillId="0" borderId="0" numFmtId="0" xfId="0" applyAlignment="1">
      <alignment horizontal="left"/>
    </xf>
    <xf fontId="0" fillId="0" borderId="0" numFmtId="0" xfId="0"/>
    <xf fontId="0" fillId="0" borderId="0" numFmtId="0" xfId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1</xdr:col>
      <xdr:colOff>314324</xdr:colOff>
      <xdr:row>1</xdr:row>
      <xdr:rowOff>81776</xdr:rowOff>
    </xdr:from>
    <xdr:ext cx="4387331" cy="2349002"/>
    <xdr:pic>
      <xdr:nvPicPr>
        <xdr:cNvPr id="1962078393" name=""/>
        <xdr:cNvPicPr>
          <a:picLocks noChangeAspect="1"/>
        </xdr:cNvPicPr>
      </xdr:nvPicPr>
      <xdr:blipFill rotWithShape="1">
        <a:blip r:embed="rId1"/>
        <a:stretch/>
      </xdr:blipFill>
      <xdr:spPr bwMode="auto">
        <a:xfrm flipH="0" flipV="0">
          <a:off x="923924" y="257036"/>
          <a:ext cx="4387331" cy="2349002"/>
        </a:xfrm>
        <a:prstGeom prst="rect">
          <a:avLst/>
        </a:prstGeom>
      </xdr:spPr>
    </xdr:pic>
    <xdr:clientData/>
  </xdr:oneCellAnchor>
  <xdr:oneCellAnchor>
    <xdr:from>
      <xdr:col>1</xdr:col>
      <xdr:colOff>447674</xdr:colOff>
      <xdr:row>14</xdr:row>
      <xdr:rowOff>105119</xdr:rowOff>
    </xdr:from>
    <xdr:ext cx="3705224" cy="1152180"/>
    <xdr:pic>
      <xdr:nvPicPr>
        <xdr:cNvPr id="1959990710" name=""/>
        <xdr:cNvPicPr>
          <a:picLocks noChangeAspect="1"/>
        </xdr:cNvPicPr>
      </xdr:nvPicPr>
      <xdr:blipFill rotWithShape="1">
        <a:blip r:embed="rId2"/>
        <a:srcRect l="0" t="0" r="0" b="20294"/>
        <a:stretch/>
      </xdr:blipFill>
      <xdr:spPr bwMode="auto">
        <a:xfrm flipH="0" flipV="0">
          <a:off x="1057274" y="2558759"/>
          <a:ext cx="3705224" cy="1152180"/>
        </a:xfrm>
        <a:prstGeom prst="rect">
          <a:avLst/>
        </a:prstGeom>
      </xdr:spPr>
    </xdr:pic>
    <xdr:clientData/>
  </xdr:oneCellAnchor>
  <xdr:oneCellAnchor>
    <xdr:from>
      <xdr:col>1</xdr:col>
      <xdr:colOff>314324</xdr:colOff>
      <xdr:row>36</xdr:row>
      <xdr:rowOff>83819</xdr:rowOff>
    </xdr:from>
    <xdr:ext cx="3962359" cy="2284094"/>
    <xdr:pic>
      <xdr:nvPicPr>
        <xdr:cNvPr id="1689857361" name=""/>
        <xdr:cNvPicPr>
          <a:picLocks noChangeAspect="1"/>
        </xdr:cNvPicPr>
      </xdr:nvPicPr>
      <xdr:blipFill rotWithShape="1">
        <a:blip r:embed="rId3"/>
        <a:stretch/>
      </xdr:blipFill>
      <xdr:spPr bwMode="auto">
        <a:xfrm flipH="0" flipV="0">
          <a:off x="923924" y="6393179"/>
          <a:ext cx="3962359" cy="2284094"/>
        </a:xfrm>
        <a:prstGeom prst="rect">
          <a:avLst/>
        </a:prstGeom>
      </xdr:spPr>
    </xdr:pic>
    <xdr:clientData/>
  </xdr:oneCellAnchor>
  <xdr:oneCellAnchor>
    <xdr:from>
      <xdr:col>1</xdr:col>
      <xdr:colOff>314324</xdr:colOff>
      <xdr:row>51</xdr:row>
      <xdr:rowOff>41909</xdr:rowOff>
    </xdr:from>
    <xdr:ext cx="3552824" cy="1024111"/>
    <xdr:pic>
      <xdr:nvPicPr>
        <xdr:cNvPr id="2139841319" name=""/>
        <xdr:cNvPicPr>
          <a:picLocks noChangeAspect="1"/>
        </xdr:cNvPicPr>
      </xdr:nvPicPr>
      <xdr:blipFill rotWithShape="1">
        <a:blip r:embed="rId4"/>
        <a:stretch/>
      </xdr:blipFill>
      <xdr:spPr bwMode="auto">
        <a:xfrm flipH="0" flipV="0">
          <a:off x="923924" y="8980169"/>
          <a:ext cx="3552824" cy="1024111"/>
        </a:xfrm>
        <a:prstGeom prst="rect">
          <a:avLst/>
        </a:prstGeom>
      </xdr:spPr>
    </xdr:pic>
    <xdr:clientData/>
  </xdr:one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0" zoomScale="100" workbookViewId="0">
      <selection activeCell="A1" activeCellId="0" sqref="A1"/>
    </sheetView>
  </sheetViews>
  <sheetFormatPr defaultRowHeight="14.25"/>
  <sheetData>
    <row r="2" ht="14.25">
      <c r="B2" s="1"/>
      <c r="J2" t="s">
        <v>0</v>
      </c>
      <c r="K2" t="s">
        <v>1</v>
      </c>
      <c r="L2" t="s">
        <v>2</v>
      </c>
      <c r="M2" t="s">
        <v>3</v>
      </c>
      <c r="N2" t="s">
        <v>4</v>
      </c>
      <c r="O2" t="s">
        <v>5</v>
      </c>
    </row>
    <row r="3" ht="14.25">
      <c r="J3">
        <v>150</v>
      </c>
      <c r="K3">
        <v>200</v>
      </c>
      <c r="L3">
        <v>100</v>
      </c>
      <c r="M3">
        <v>350</v>
      </c>
      <c r="N3">
        <v>100</v>
      </c>
      <c r="O3">
        <f>K3+L3</f>
        <v>300</v>
      </c>
    </row>
    <row r="7" ht="14.25">
      <c r="J7" t="s">
        <v>6</v>
      </c>
      <c r="K7" t="s">
        <v>7</v>
      </c>
    </row>
    <row r="8" ht="14.25">
      <c r="K8" t="s">
        <v>8</v>
      </c>
      <c r="M8" t="s">
        <v>9</v>
      </c>
      <c r="N8">
        <v>150</v>
      </c>
    </row>
    <row r="9" ht="14.25">
      <c r="M9" t="s">
        <v>10</v>
      </c>
      <c r="N9">
        <v>450</v>
      </c>
    </row>
    <row r="10" ht="14.25">
      <c r="K10">
        <f>(N8/N9)*100</f>
        <v>33.333333333333329</v>
      </c>
    </row>
    <row r="12" ht="14.25">
      <c r="J12" t="s">
        <v>11</v>
      </c>
      <c r="K12" t="s">
        <v>12</v>
      </c>
    </row>
    <row r="14" ht="14.25">
      <c r="K14" t="s">
        <v>13</v>
      </c>
    </row>
    <row r="15" ht="14.25">
      <c r="K15">
        <f>(J3+K3)/M3*100</f>
        <v>100</v>
      </c>
    </row>
    <row r="16" ht="14.25">
      <c r="J16" t="s">
        <v>14</v>
      </c>
      <c r="K16" t="s">
        <v>15</v>
      </c>
    </row>
    <row r="17" ht="14.25">
      <c r="B17" s="1"/>
      <c r="K17" t="s">
        <v>16</v>
      </c>
    </row>
    <row r="18" ht="14.25">
      <c r="K18">
        <f>O3/J3*100</f>
        <v>200</v>
      </c>
    </row>
    <row r="19" ht="14.25">
      <c r="J19" t="s">
        <v>17</v>
      </c>
      <c r="K19" s="2" t="s">
        <v>18</v>
      </c>
    </row>
    <row r="20" ht="14.25">
      <c r="K20" t="s">
        <v>19</v>
      </c>
    </row>
    <row r="21" ht="14.25">
      <c r="K21">
        <f>20/L3*100</f>
        <v>20</v>
      </c>
    </row>
    <row r="22" ht="14.25">
      <c r="J22" t="s">
        <v>20</v>
      </c>
      <c r="K22" t="s">
        <v>21</v>
      </c>
    </row>
    <row r="23" ht="14.25">
      <c r="K23" t="s">
        <v>22</v>
      </c>
    </row>
    <row r="24" ht="14.25">
      <c r="K24">
        <f>50/L3*100</f>
        <v>50</v>
      </c>
    </row>
    <row r="25" ht="14.25">
      <c r="J25" t="s">
        <v>23</v>
      </c>
      <c r="K25" t="s">
        <v>24</v>
      </c>
    </row>
    <row r="26" ht="14.25">
      <c r="K26" t="s">
        <v>25</v>
      </c>
    </row>
    <row r="27" ht="14.25">
      <c r="K27">
        <f>(100-100)</f>
        <v>0</v>
      </c>
    </row>
    <row r="28" ht="14.25">
      <c r="J28" t="s">
        <v>26</v>
      </c>
      <c r="K28" t="s">
        <v>27</v>
      </c>
    </row>
    <row r="29" ht="14.25">
      <c r="K29" t="s">
        <v>28</v>
      </c>
    </row>
    <row r="30" ht="14.25">
      <c r="K30">
        <f>100/100*100</f>
        <v>100</v>
      </c>
    </row>
    <row r="35" ht="14.25">
      <c r="J35" t="s">
        <v>0</v>
      </c>
      <c r="K35" t="s">
        <v>1</v>
      </c>
      <c r="L35" t="s">
        <v>2</v>
      </c>
      <c r="M35" t="s">
        <v>3</v>
      </c>
      <c r="N35" t="s">
        <v>4</v>
      </c>
      <c r="O35" t="s">
        <v>5</v>
      </c>
    </row>
    <row r="36" ht="14.25">
      <c r="B36" s="1"/>
      <c r="J36" s="3">
        <v>150</v>
      </c>
      <c r="K36" s="3">
        <v>200</v>
      </c>
      <c r="L36" s="3">
        <v>100</v>
      </c>
      <c r="M36" s="3">
        <v>350</v>
      </c>
      <c r="N36" s="3">
        <v>100</v>
      </c>
      <c r="O36" s="3">
        <f>K36+L36</f>
        <v>300</v>
      </c>
    </row>
    <row r="40" ht="14.25">
      <c r="J40" t="s">
        <v>29</v>
      </c>
      <c r="K40" t="s">
        <v>30</v>
      </c>
    </row>
    <row r="41" ht="14.25">
      <c r="K41">
        <f>20+30+40</f>
        <v>90</v>
      </c>
    </row>
    <row r="43" ht="14.25">
      <c r="K43">
        <f>800-450-250-10</f>
        <v>90</v>
      </c>
    </row>
    <row r="45" ht="14.25">
      <c r="K45" t="s">
        <v>31</v>
      </c>
    </row>
    <row r="46" ht="14.25">
      <c r="K46" t="s">
        <v>32</v>
      </c>
      <c r="N46">
        <f>O36-20</f>
        <v>280</v>
      </c>
    </row>
    <row r="48" ht="14.25">
      <c r="B48" s="1"/>
      <c r="J48" t="s">
        <v>33</v>
      </c>
      <c r="K48" t="s">
        <v>34</v>
      </c>
    </row>
    <row r="49" ht="14.25">
      <c r="K49" t="s">
        <v>35</v>
      </c>
    </row>
    <row r="50" ht="14.25">
      <c r="K50">
        <f>N46/90</f>
        <v>3.1111111111111112</v>
      </c>
    </row>
    <row r="53" ht="14.25">
      <c r="J53" t="s">
        <v>36</v>
      </c>
      <c r="K53" t="s">
        <v>37</v>
      </c>
    </row>
    <row r="54" ht="14.25">
      <c r="K54" t="s">
        <v>38</v>
      </c>
    </row>
    <row r="55" ht="14.25">
      <c r="K55">
        <f>20/J36*100</f>
        <v>13.333333333333334</v>
      </c>
    </row>
    <row r="58" ht="14.25">
      <c r="J58" t="s">
        <v>39</v>
      </c>
      <c r="K58" t="s">
        <v>40</v>
      </c>
    </row>
    <row r="59" ht="14.25">
      <c r="K59" t="s">
        <v>41</v>
      </c>
    </row>
    <row r="60" ht="14.25">
      <c r="K60">
        <f>30/450*100</f>
        <v>6.666666666666667</v>
      </c>
    </row>
    <row r="62" ht="14.25">
      <c r="J62" t="s">
        <v>42</v>
      </c>
      <c r="K62" t="s">
        <v>43</v>
      </c>
    </row>
    <row r="63" ht="14.25">
      <c r="K63" t="s">
        <v>44</v>
      </c>
    </row>
    <row r="64" ht="14.25">
      <c r="K64">
        <f>800/450</f>
        <v>1.7777777777777777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2026-01-18T21:39:03Z</dcterms:modified>
</cp:coreProperties>
</file>
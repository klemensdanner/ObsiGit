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G:\Meine Ablage\Obsidian Vault\BWL\Übung\Aufträge\UE11\"/>
    </mc:Choice>
  </mc:AlternateContent>
  <xr:revisionPtr revIDLastSave="0" documentId="13_ncr:1_{5D66F700-7AD8-4B25-A675-AB4BB0FF8523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  <c r="E21" i="1"/>
  <c r="E19" i="1"/>
  <c r="E18" i="1"/>
  <c r="E15" i="1"/>
  <c r="E14" i="1"/>
  <c r="E11" i="1"/>
  <c r="E12" i="1"/>
  <c r="E13" i="1"/>
  <c r="E10" i="1"/>
  <c r="E9" i="1"/>
  <c r="C27" i="1"/>
  <c r="E6" i="1"/>
  <c r="E5" i="1"/>
  <c r="C26" i="1" s="1"/>
  <c r="F1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Hinterholzer Stefan</author>
  </authors>
  <commentList>
    <comment ref="C19" authorId="0" shapeId="0" xr:uid="{3B6581EC-21E1-4A97-85A8-773033B82167}">
      <text>
        <r>
          <rPr>
            <b/>
            <sz val="9"/>
            <color indexed="81"/>
            <rFont val="Tahoma"/>
            <family val="2"/>
          </rPr>
          <t>Hinterholzer Stefan:</t>
        </r>
        <r>
          <rPr>
            <sz val="9"/>
            <color indexed="81"/>
            <rFont val="Tahoma"/>
            <family val="2"/>
          </rPr>
          <t xml:space="preserve">
Im Zuge eines Einbruchs wurde 1 Stück gestohlen</t>
        </r>
      </text>
    </comment>
    <comment ref="D22" authorId="0" shapeId="0" xr:uid="{D0EB706C-80CC-49FC-A2B2-36F12563ABD7}">
      <text>
        <r>
          <rPr>
            <b/>
            <sz val="9"/>
            <color indexed="81"/>
            <rFont val="Tahoma"/>
            <family val="2"/>
          </rPr>
          <t>Hinterholzer Stefan:</t>
        </r>
        <r>
          <rPr>
            <sz val="9"/>
            <color indexed="81"/>
            <rFont val="Tahoma"/>
            <family val="2"/>
          </rPr>
          <t xml:space="preserve">
Der Preis am Bilanzstichtag beträgt nur mehr € 340 (ist gegenüber dem Zukauf am 5.5. um € 10,- gesunken)</t>
        </r>
      </text>
    </comment>
  </commentList>
</comments>
</file>

<file path=xl/sharedStrings.xml><?xml version="1.0" encoding="utf-8"?>
<sst xmlns="http://schemas.openxmlformats.org/spreadsheetml/2006/main" count="51" uniqueCount="37">
  <si>
    <t>Datum</t>
  </si>
  <si>
    <t>Text</t>
  </si>
  <si>
    <t>Stück</t>
  </si>
  <si>
    <t>Preis</t>
  </si>
  <si>
    <t>Wert</t>
  </si>
  <si>
    <t>1.1.</t>
  </si>
  <si>
    <t>Anfangsbestand</t>
  </si>
  <si>
    <t>Stand</t>
  </si>
  <si>
    <t>5.5.</t>
  </si>
  <si>
    <t>31.12.</t>
  </si>
  <si>
    <t>Schwund</t>
  </si>
  <si>
    <t>Abwertung</t>
  </si>
  <si>
    <t>EBK</t>
  </si>
  <si>
    <t>Zukauf</t>
  </si>
  <si>
    <t>vom Anfangsbestand</t>
  </si>
  <si>
    <t>vom Zukauf</t>
  </si>
  <si>
    <t>Bilanzansatz</t>
  </si>
  <si>
    <t>31.12. Ist-Endbestand</t>
  </si>
  <si>
    <t>Ist-Endbestand zum Einstandspreis</t>
  </si>
  <si>
    <t>Vom Anfangsbestand</t>
  </si>
  <si>
    <t>z.B. Bank</t>
  </si>
  <si>
    <t>Identitätspreisverfahren Ware X</t>
  </si>
  <si>
    <t>Buchungssätze</t>
  </si>
  <si>
    <t>1.1. bis 31.12.</t>
  </si>
  <si>
    <t>Soll-Endbestand</t>
  </si>
  <si>
    <t>Abfassungen (Verbrauch, Einsatz)</t>
  </si>
  <si>
    <t>Wareneinsatz X (Kl. 5)</t>
  </si>
  <si>
    <t>Ware X (KL. 1)</t>
  </si>
  <si>
    <t>BWL1T2_UE11a (Vorratsbewertung)</t>
  </si>
  <si>
    <t>Wert der Vorräte in der Bilanz: € xxxx</t>
  </si>
  <si>
    <t>Abschreibung von Vorräten (KL. 7) "alles in einen Topf"</t>
  </si>
  <si>
    <t>Werte</t>
  </si>
  <si>
    <t>Wareneinsatz: 5000</t>
  </si>
  <si>
    <t>Wareneinsatz</t>
  </si>
  <si>
    <t>Abschreibung von Vorräten: € 390</t>
  </si>
  <si>
    <t>Ware X</t>
  </si>
  <si>
    <t>Abschreibung von Vorräten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</si>
</sst>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-[$€-C07]\ * #,##0.00_-;\-[$€-C07]\ * #,##0.00_-;_-[$€-C07]\ * &quot;-&quot;??_-;_-@_-"/>
    <numFmt numFmtId="165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3" fontId="1" fillId="0" borderId="0" xfId="0" applyNumberFormat="1" applyFont="1"/>
    <xf numFmtId="164" fontId="1" fillId="0" borderId="0" xfId="0" applyNumberFormat="1" applyFont="1"/>
    <xf numFmtId="0" fontId="4" fillId="3" borderId="0" xfId="0" applyFont="1" applyFill="1"/>
    <xf numFmtId="0" fontId="4" fillId="2" borderId="0" xfId="0" applyFont="1" applyFill="1" applyAlignment="1">
      <alignment horizontal="center"/>
    </xf>
    <xf numFmtId="0" fontId="1" fillId="4" borderId="0" xfId="0" applyFont="1" applyFill="1"/>
    <xf numFmtId="3" fontId="1" fillId="4" borderId="0" xfId="0" applyNumberFormat="1" applyFont="1" applyFill="1"/>
    <xf numFmtId="164" fontId="1" fillId="4" borderId="0" xfId="0" applyNumberFormat="1" applyFont="1" applyFill="1"/>
    <xf numFmtId="0" fontId="1" fillId="0" borderId="1" xfId="0" applyFont="1" applyBorder="1"/>
    <xf numFmtId="3" fontId="1" fillId="0" borderId="1" xfId="0" applyNumberFormat="1" applyFont="1" applyBorder="1"/>
    <xf numFmtId="164" fontId="1" fillId="0" borderId="1" xfId="0" applyNumberFormat="1" applyFont="1" applyBorder="1"/>
    <xf numFmtId="0" fontId="1" fillId="0" borderId="0" xfId="0" applyFont="1" applyAlignment="1">
      <alignment wrapText="1"/>
    </xf>
    <xf numFmtId="0" fontId="1" fillId="6" borderId="0" xfId="0" applyFont="1" applyFill="1"/>
    <xf numFmtId="3" fontId="1" fillId="6" borderId="0" xfId="0" applyNumberFormat="1" applyFont="1" applyFill="1"/>
    <xf numFmtId="164" fontId="1" fillId="6" borderId="0" xfId="0" applyNumberFormat="1" applyFont="1" applyFill="1"/>
    <xf numFmtId="3" fontId="1" fillId="0" borderId="2" xfId="0" applyNumberFormat="1" applyFont="1" applyBorder="1"/>
    <xf numFmtId="164" fontId="1" fillId="0" borderId="0" xfId="0" quotePrefix="1" applyNumberFormat="1" applyFont="1"/>
    <xf numFmtId="41" fontId="1" fillId="0" borderId="0" xfId="0" applyNumberFormat="1" applyFont="1"/>
    <xf numFmtId="3" fontId="1" fillId="0" borderId="3" xfId="0" applyNumberFormat="1" applyFont="1" applyBorder="1"/>
    <xf numFmtId="0" fontId="1" fillId="0" borderId="4" xfId="0" applyFont="1" applyBorder="1"/>
    <xf numFmtId="41" fontId="1" fillId="0" borderId="1" xfId="0" applyNumberFormat="1" applyFont="1" applyBorder="1"/>
    <xf numFmtId="3" fontId="1" fillId="0" borderId="6" xfId="0" applyNumberFormat="1" applyFont="1" applyBorder="1"/>
    <xf numFmtId="165" fontId="1" fillId="0" borderId="5" xfId="0" applyNumberFormat="1" applyFont="1" applyBorder="1"/>
    <xf numFmtId="0" fontId="1" fillId="5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3" fontId="5" fillId="0" borderId="1" xfId="0" applyNumberFormat="1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1924050</xdr:colOff>
      <xdr:row>8</xdr:row>
      <xdr:rowOff>28575</xdr:rowOff>
    </xdr:from>
    <xdr:to>
      <xdr:col>5</xdr:col>
      <xdr:colOff>57150</xdr:colOff>
      <xdr:row>10</xdr:row>
      <xdr:rowOff>28575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276C92FE-9D30-11F5-655F-E80BA150C9E1}"/>
            </a:ext>
          </a:extLst>
        </xdr:cNvPr>
        <xdr:cNvSpPr/>
      </xdr:nvSpPr>
      <xdr:spPr>
        <a:xfrm>
          <a:off x="6696075" y="1552575"/>
          <a:ext cx="133350" cy="3810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AT" sz="1100"/>
        </a:p>
      </xdr:txBody>
    </xdr:sp>
    <xdr:clientData/>
  </xdr:twoCellAnchor>
  <xdr:twoCellAnchor>
    <xdr:from>
      <xdr:col>4</xdr:col>
      <xdr:colOff>1914525</xdr:colOff>
      <xdr:row>17</xdr:row>
      <xdr:rowOff>0</xdr:rowOff>
    </xdr:from>
    <xdr:to>
      <xdr:col>5</xdr:col>
      <xdr:colOff>47625</xdr:colOff>
      <xdr:row>19</xdr:row>
      <xdr:rowOff>0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ECD2B674-9D59-E4B4-3671-E9BB79358D7C}"/>
            </a:ext>
          </a:extLst>
        </xdr:cNvPr>
        <xdr:cNvSpPr/>
      </xdr:nvSpPr>
      <xdr:spPr>
        <a:xfrm>
          <a:off x="6686550" y="3267075"/>
          <a:ext cx="133350" cy="3810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AT" sz="1100"/>
        </a:p>
      </xdr:txBody>
    </xdr:sp>
    <xdr:clientData/>
  </xdr:twoCellAnchor>
  <xdr:twoCellAnchor>
    <xdr:from>
      <xdr:col>4</xdr:col>
      <xdr:colOff>1971379</xdr:colOff>
      <xdr:row>20</xdr:row>
      <xdr:rowOff>14199</xdr:rowOff>
    </xdr:from>
    <xdr:to>
      <xdr:col>5</xdr:col>
      <xdr:colOff>104479</xdr:colOff>
      <xdr:row>22</xdr:row>
      <xdr:rowOff>14199</xdr:rowOff>
    </xdr:to>
    <xdr:sp macro="" textlink="">
      <xdr:nvSpPr>
        <xdr:cNvPr id="4" name="Right Brace 3">
          <a:extLst>
            <a:ext uri="{FF2B5EF4-FFF2-40B4-BE49-F238E27FC236}">
              <a16:creationId xmlns:a16="http://schemas.microsoft.com/office/drawing/2014/main" id="{FF5BA336-5D75-0F42-A1AC-4E384773ECCA}"/>
            </a:ext>
          </a:extLst>
        </xdr:cNvPr>
        <xdr:cNvSpPr/>
      </xdr:nvSpPr>
      <xdr:spPr>
        <a:xfrm>
          <a:off x="7040336" y="4046646"/>
          <a:ext cx="258180" cy="369168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A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2"/>
  <sheetViews>
    <sheetView tabSelected="1" topLeftCell="A13" zoomScale="115" zoomScaleNormal="100" workbookViewId="0">
      <selection activeCell="H24" sqref="H24"/>
    </sheetView>
  </sheetViews>
  <sheetFormatPr baseColWidth="10" defaultColWidth="9.15234375" defaultRowHeight="14.6" x14ac:dyDescent="0.4"/>
  <cols>
    <col min="1" max="1" width="23.3046875" style="1" bestFit="1" customWidth="1"/>
    <col min="2" max="2" width="26.3828125" style="1" customWidth="1"/>
    <col min="3" max="3" width="12" style="1" customWidth="1"/>
    <col min="4" max="4" width="10" style="1" customWidth="1"/>
    <col min="5" max="5" width="30" style="1" bestFit="1" customWidth="1"/>
    <col min="6" max="6" width="35.3046875" style="1" bestFit="1" customWidth="1"/>
    <col min="7" max="16384" width="9.15234375" style="1"/>
  </cols>
  <sheetData>
    <row r="1" spans="1:6" x14ac:dyDescent="0.4">
      <c r="A1" s="1" t="s">
        <v>28</v>
      </c>
    </row>
    <row r="2" spans="1:6" x14ac:dyDescent="0.4">
      <c r="A2" s="4" t="s">
        <v>21</v>
      </c>
      <c r="B2" s="4"/>
    </row>
    <row r="4" spans="1:6" x14ac:dyDescent="0.4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</row>
    <row r="5" spans="1:6" x14ac:dyDescent="0.4">
      <c r="A5" s="6" t="s">
        <v>5</v>
      </c>
      <c r="B5" s="6" t="s">
        <v>6</v>
      </c>
      <c r="C5" s="7">
        <v>6</v>
      </c>
      <c r="D5" s="8">
        <v>300</v>
      </c>
      <c r="E5" s="8">
        <f>C5*D5</f>
        <v>1800</v>
      </c>
    </row>
    <row r="6" spans="1:6" x14ac:dyDescent="0.4">
      <c r="A6" s="9" t="s">
        <v>8</v>
      </c>
      <c r="B6" s="9" t="s">
        <v>13</v>
      </c>
      <c r="C6" s="10">
        <v>15</v>
      </c>
      <c r="D6" s="11">
        <v>350</v>
      </c>
      <c r="E6" s="11">
        <f>C6*D6</f>
        <v>5250</v>
      </c>
    </row>
    <row r="7" spans="1:6" x14ac:dyDescent="0.4">
      <c r="A7" s="1" t="s">
        <v>8</v>
      </c>
      <c r="B7" s="1" t="s">
        <v>7</v>
      </c>
      <c r="C7" s="2"/>
      <c r="D7" s="3"/>
      <c r="E7" s="3"/>
    </row>
    <row r="8" spans="1:6" ht="24" customHeight="1" x14ac:dyDescent="0.4">
      <c r="A8" s="9" t="s">
        <v>23</v>
      </c>
      <c r="B8" s="9" t="s">
        <v>25</v>
      </c>
      <c r="C8" s="10"/>
      <c r="D8" s="11"/>
      <c r="E8" s="11"/>
      <c r="F8" s="3"/>
    </row>
    <row r="9" spans="1:6" x14ac:dyDescent="0.4">
      <c r="B9" s="1" t="s">
        <v>14</v>
      </c>
      <c r="C9" s="2">
        <v>-5</v>
      </c>
      <c r="D9" s="3">
        <v>300</v>
      </c>
      <c r="E9" s="3">
        <f>C9*D9</f>
        <v>-1500</v>
      </c>
      <c r="F9" s="24" t="s">
        <v>32</v>
      </c>
    </row>
    <row r="10" spans="1:6" x14ac:dyDescent="0.4">
      <c r="A10" s="9"/>
      <c r="B10" s="9" t="s">
        <v>15</v>
      </c>
      <c r="C10" s="10">
        <v>-10</v>
      </c>
      <c r="D10" s="11">
        <v>350</v>
      </c>
      <c r="E10" s="11">
        <f>C10*D10</f>
        <v>-3500</v>
      </c>
      <c r="F10" s="24"/>
    </row>
    <row r="11" spans="1:6" x14ac:dyDescent="0.4">
      <c r="A11" s="1" t="s">
        <v>9</v>
      </c>
      <c r="B11" s="1" t="s">
        <v>24</v>
      </c>
      <c r="C11" s="2">
        <v>6</v>
      </c>
      <c r="E11" s="3">
        <f>E12+E13</f>
        <v>2050</v>
      </c>
    </row>
    <row r="12" spans="1:6" x14ac:dyDescent="0.4">
      <c r="B12" s="1" t="s">
        <v>14</v>
      </c>
      <c r="C12" s="2">
        <v>1</v>
      </c>
      <c r="D12" s="3">
        <v>300</v>
      </c>
      <c r="E12" s="11">
        <f>C12*D12</f>
        <v>300</v>
      </c>
    </row>
    <row r="13" spans="1:6" x14ac:dyDescent="0.4">
      <c r="A13" s="9"/>
      <c r="B13" s="9" t="s">
        <v>15</v>
      </c>
      <c r="C13" s="10">
        <v>5</v>
      </c>
      <c r="D13" s="11">
        <v>350</v>
      </c>
      <c r="E13" s="11">
        <f>C13*D13</f>
        <v>1750</v>
      </c>
      <c r="F13" s="3">
        <f>E13</f>
        <v>1750</v>
      </c>
    </row>
    <row r="14" spans="1:6" x14ac:dyDescent="0.4">
      <c r="A14" s="1" t="s">
        <v>17</v>
      </c>
      <c r="B14" s="1" t="s">
        <v>14</v>
      </c>
      <c r="C14" s="2">
        <v>1</v>
      </c>
      <c r="D14" s="3">
        <v>300</v>
      </c>
      <c r="E14" s="3">
        <f>C14*D14</f>
        <v>300</v>
      </c>
    </row>
    <row r="15" spans="1:6" x14ac:dyDescent="0.4">
      <c r="B15" s="9" t="s">
        <v>15</v>
      </c>
      <c r="C15" s="27">
        <v>4</v>
      </c>
      <c r="D15" s="11">
        <v>350</v>
      </c>
      <c r="E15" s="11">
        <f>C15*D15</f>
        <v>1400</v>
      </c>
    </row>
    <row r="16" spans="1:6" ht="32.25" customHeight="1" x14ac:dyDescent="0.4">
      <c r="A16" s="9" t="s">
        <v>9</v>
      </c>
      <c r="B16" s="12" t="s">
        <v>18</v>
      </c>
      <c r="C16" s="2"/>
      <c r="D16" s="3"/>
      <c r="E16" s="3"/>
    </row>
    <row r="18" spans="1:6" x14ac:dyDescent="0.4">
      <c r="A18" s="1" t="s">
        <v>10</v>
      </c>
      <c r="C18" s="2">
        <v>1</v>
      </c>
      <c r="D18" s="3">
        <v>350</v>
      </c>
      <c r="E18" s="3">
        <f>C18*D18</f>
        <v>350</v>
      </c>
      <c r="F18" s="24" t="s">
        <v>34</v>
      </c>
    </row>
    <row r="19" spans="1:6" x14ac:dyDescent="0.4">
      <c r="A19" s="1" t="s">
        <v>11</v>
      </c>
      <c r="C19" s="2">
        <v>4</v>
      </c>
      <c r="D19" s="3">
        <v>10</v>
      </c>
      <c r="E19" s="3">
        <f>C19*D19</f>
        <v>40</v>
      </c>
      <c r="F19" s="24"/>
    </row>
    <row r="20" spans="1:6" x14ac:dyDescent="0.4">
      <c r="C20" s="2"/>
      <c r="D20" s="3"/>
      <c r="E20" s="3"/>
    </row>
    <row r="21" spans="1:6" x14ac:dyDescent="0.4">
      <c r="A21" s="1" t="s">
        <v>16</v>
      </c>
      <c r="B21" s="13" t="s">
        <v>19</v>
      </c>
      <c r="C21" s="14">
        <v>1</v>
      </c>
      <c r="D21" s="15">
        <v>300</v>
      </c>
      <c r="E21" s="15">
        <f>C21*D21</f>
        <v>300</v>
      </c>
      <c r="F21" s="25" t="s">
        <v>29</v>
      </c>
    </row>
    <row r="22" spans="1:6" x14ac:dyDescent="0.4">
      <c r="B22" s="13" t="s">
        <v>15</v>
      </c>
      <c r="C22" s="14">
        <v>4</v>
      </c>
      <c r="D22" s="15">
        <v>340</v>
      </c>
      <c r="E22" s="15">
        <f>C22*D22</f>
        <v>1360</v>
      </c>
      <c r="F22" s="25"/>
    </row>
    <row r="23" spans="1:6" x14ac:dyDescent="0.4">
      <c r="C23" s="2"/>
      <c r="D23" s="3"/>
      <c r="E23" s="3"/>
    </row>
    <row r="24" spans="1:6" x14ac:dyDescent="0.4">
      <c r="C24" s="2"/>
      <c r="D24" s="3"/>
      <c r="E24" s="3"/>
    </row>
    <row r="25" spans="1:6" x14ac:dyDescent="0.4">
      <c r="A25" s="26" t="s">
        <v>27</v>
      </c>
      <c r="B25" s="26"/>
      <c r="C25" s="26"/>
      <c r="D25" s="26"/>
      <c r="E25" s="26"/>
      <c r="F25" s="26"/>
    </row>
    <row r="26" spans="1:6" x14ac:dyDescent="0.4">
      <c r="A26" s="1" t="s">
        <v>5</v>
      </c>
      <c r="B26" s="1" t="s">
        <v>12</v>
      </c>
      <c r="C26" s="16">
        <f>E5</f>
        <v>1800</v>
      </c>
      <c r="D26" s="3" t="s">
        <v>9</v>
      </c>
      <c r="E26" s="17" t="s">
        <v>33</v>
      </c>
      <c r="F26" s="18">
        <v>5000</v>
      </c>
    </row>
    <row r="27" spans="1:6" x14ac:dyDescent="0.4">
      <c r="A27" s="1" t="s">
        <v>8</v>
      </c>
      <c r="B27" s="1" t="s">
        <v>20</v>
      </c>
      <c r="C27" s="19">
        <f>E6</f>
        <v>5250</v>
      </c>
      <c r="D27" s="3" t="s">
        <v>9</v>
      </c>
      <c r="E27" s="3" t="s">
        <v>36</v>
      </c>
      <c r="F27" s="18">
        <v>390</v>
      </c>
    </row>
    <row r="28" spans="1:6" x14ac:dyDescent="0.4">
      <c r="C28" s="20"/>
      <c r="D28" s="3"/>
      <c r="E28" s="17"/>
      <c r="F28" s="21"/>
    </row>
    <row r="29" spans="1:6" ht="15" thickBot="1" x14ac:dyDescent="0.45">
      <c r="C29" s="22"/>
      <c r="D29" s="3"/>
      <c r="E29" s="3"/>
      <c r="F29" s="23"/>
    </row>
    <row r="30" spans="1:6" ht="15" thickTop="1" x14ac:dyDescent="0.4"/>
    <row r="31" spans="1:6" x14ac:dyDescent="0.4">
      <c r="A31" s="26" t="s">
        <v>26</v>
      </c>
      <c r="B31" s="26"/>
      <c r="C31" s="26"/>
      <c r="D31" s="26"/>
      <c r="E31" s="26"/>
      <c r="F31" s="26"/>
    </row>
    <row r="32" spans="1:6" ht="15" thickBot="1" x14ac:dyDescent="0.45">
      <c r="A32" s="1" t="s">
        <v>9</v>
      </c>
      <c r="B32" s="1" t="s">
        <v>35</v>
      </c>
      <c r="C32" s="22">
        <v>5000</v>
      </c>
      <c r="D32" s="3"/>
      <c r="E32" s="3"/>
      <c r="F32" s="23"/>
    </row>
    <row r="33" spans="1:6" ht="15" thickTop="1" x14ac:dyDescent="0.4"/>
    <row r="34" spans="1:6" x14ac:dyDescent="0.4">
      <c r="A34" s="26" t="s">
        <v>30</v>
      </c>
      <c r="B34" s="26"/>
      <c r="C34" s="26"/>
      <c r="D34" s="26"/>
      <c r="E34" s="26"/>
      <c r="F34" s="26"/>
    </row>
    <row r="35" spans="1:6" ht="15" thickBot="1" x14ac:dyDescent="0.45">
      <c r="A35" s="1" t="s">
        <v>9</v>
      </c>
      <c r="B35" s="1" t="s">
        <v>35</v>
      </c>
      <c r="C35" s="22">
        <v>390</v>
      </c>
      <c r="D35" s="3"/>
      <c r="E35" s="3"/>
      <c r="F35" s="23"/>
    </row>
    <row r="36" spans="1:6" ht="15" thickTop="1" x14ac:dyDescent="0.4"/>
    <row r="39" spans="1:6" x14ac:dyDescent="0.4">
      <c r="A39" s="1" t="s">
        <v>22</v>
      </c>
      <c r="C39" s="1" t="s">
        <v>31</v>
      </c>
    </row>
    <row r="40" spans="1:6" x14ac:dyDescent="0.4">
      <c r="C40" s="3"/>
    </row>
    <row r="41" spans="1:6" x14ac:dyDescent="0.4">
      <c r="C41" s="3"/>
    </row>
    <row r="42" spans="1:6" x14ac:dyDescent="0.4">
      <c r="C42" s="3"/>
    </row>
  </sheetData>
  <mergeCells count="6">
    <mergeCell ref="F9:F10"/>
    <mergeCell ref="F21:F22"/>
    <mergeCell ref="A25:F25"/>
    <mergeCell ref="A31:F31"/>
    <mergeCell ref="A34:F34"/>
    <mergeCell ref="F18:F19"/>
  </mergeCells>
  <printOptions gridLines="1"/>
  <pageMargins left="0.70866141732283472" right="0.70866141732283472" top="0.74803149606299213" bottom="0.74803149606299213" header="0.31496062992125984" footer="0.31496062992125984"/>
  <pageSetup paperSize="9" scale="81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>FH-Hagenberg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Hinterholzer Stefan</dc:creator>
  <cp:lastModifiedBy>Danner Klemens - s2510307051</cp:lastModifiedBy>
  <cp:lastPrinted>2022-12-12T11:44:01Z</cp:lastPrinted>
  <dcterms:created xsi:type="dcterms:W3CDTF">2018-12-17T09:19:06Z</dcterms:created>
  <dcterms:modified xsi:type="dcterms:W3CDTF">2025-12-01T13:24:50Z</dcterms:modified>
</cp:coreProperties>
</file>
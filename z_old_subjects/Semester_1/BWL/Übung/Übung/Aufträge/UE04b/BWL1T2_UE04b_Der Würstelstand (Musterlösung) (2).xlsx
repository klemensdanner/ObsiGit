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28560" windowHeight="146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2" i="1" l="1"/>
  <c r="T10" i="1"/>
  <c r="Q10" i="1" s="1"/>
  <c r="Q9" i="1" s="1"/>
  <c r="F28" i="1" s="1"/>
  <c r="F29" i="1" s="1"/>
  <c r="C29" i="1" s="1"/>
  <c r="C28" i="1" s="1"/>
  <c r="T13" i="1" s="1"/>
  <c r="C19" i="1"/>
  <c r="F19" i="1" s="1"/>
  <c r="F18" i="1" s="1"/>
  <c r="C24" i="1"/>
  <c r="F24" i="1"/>
  <c r="C10" i="1"/>
  <c r="F10" i="1" s="1"/>
  <c r="F8" i="1"/>
  <c r="C5" i="1"/>
  <c r="Q13" i="1" l="1"/>
  <c r="Q16" i="1" s="1"/>
  <c r="T16" i="1" s="1"/>
</calcChain>
</file>

<file path=xl/sharedStrings.xml><?xml version="1.0" encoding="utf-8"?>
<sst xmlns="http://schemas.openxmlformats.org/spreadsheetml/2006/main" count="140" uniqueCount="54">
  <si>
    <t>Abschr.</t>
  </si>
  <si>
    <t>GuV</t>
  </si>
  <si>
    <t>Kassa</t>
  </si>
  <si>
    <t>Eigenkap</t>
  </si>
  <si>
    <t>SBK</t>
  </si>
  <si>
    <t>Einrichtung</t>
  </si>
  <si>
    <t>Würstel</t>
  </si>
  <si>
    <t>Getränke</t>
  </si>
  <si>
    <t>Privat</t>
  </si>
  <si>
    <t>31.12.</t>
  </si>
  <si>
    <t>a)</t>
  </si>
  <si>
    <t>b)</t>
  </si>
  <si>
    <t>1.1.</t>
  </si>
  <si>
    <t>d)</t>
  </si>
  <si>
    <t>UE W</t>
  </si>
  <si>
    <t>e)</t>
  </si>
  <si>
    <t>UE G</t>
  </si>
  <si>
    <t>WEW</t>
  </si>
  <si>
    <t>Wareneinsatz Würstel (WEW)</t>
  </si>
  <si>
    <t>Wareneinsatz Getränke (WEG)</t>
  </si>
  <si>
    <t>WEG</t>
  </si>
  <si>
    <t>c)</t>
  </si>
  <si>
    <t>f)</t>
  </si>
  <si>
    <t>Eigenkapital</t>
  </si>
  <si>
    <t>EBK</t>
  </si>
  <si>
    <t>UEW</t>
  </si>
  <si>
    <t>Umsatzerlöse Würstel (UEW)</t>
  </si>
  <si>
    <t>Umsatzerlöse Getränke (UEG)</t>
  </si>
  <si>
    <t>UEG</t>
  </si>
  <si>
    <t>Aufwendungen</t>
  </si>
  <si>
    <t>g)</t>
  </si>
  <si>
    <t>Aufw.</t>
  </si>
  <si>
    <t>Aufwend.</t>
  </si>
  <si>
    <t>Eigenk.</t>
  </si>
  <si>
    <t>Eigenkap.</t>
  </si>
  <si>
    <t>Buchungssätze</t>
  </si>
  <si>
    <t>Würstel / Kassa</t>
  </si>
  <si>
    <t>Getränke / Kassa</t>
  </si>
  <si>
    <t>Einrichtung / Kassa</t>
  </si>
  <si>
    <t>Kassa / Umsatzerlöse Würstel</t>
  </si>
  <si>
    <t>Kassa / Umsatzerlöse Getränke</t>
  </si>
  <si>
    <t>Privat / Kassa</t>
  </si>
  <si>
    <t>Aufwendungen / Kassa</t>
  </si>
  <si>
    <t>Abschluss</t>
  </si>
  <si>
    <t>SBK / Getränke</t>
  </si>
  <si>
    <t>Wareneinsatz Würstel / Würstel</t>
  </si>
  <si>
    <t>Wareneinsatz Getränke / Getränke</t>
  </si>
  <si>
    <t>Eigenkapital / Privat</t>
  </si>
  <si>
    <t>GuV / Eigenkapital</t>
  </si>
  <si>
    <t>die übrigen Abschlüsse werden nicht in BS-Form angezeigt</t>
  </si>
  <si>
    <t>Einrichtg.</t>
  </si>
  <si>
    <t>Abschreibung (AfA)</t>
  </si>
  <si>
    <t>Abschreibg.</t>
  </si>
  <si>
    <t>Abschreibung (AfA) /  Einrichtung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</si>
</sst>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4" fontId="0" fillId="0" borderId="2" xfId="0" applyNumberFormat="1" applyBorder="1"/>
    <xf numFmtId="0" fontId="0" fillId="0" borderId="0" xfId="0" applyBorder="1"/>
    <xf numFmtId="4" fontId="0" fillId="0" borderId="3" xfId="0" applyNumberFormat="1" applyBorder="1"/>
    <xf numFmtId="4" fontId="0" fillId="0" borderId="0" xfId="0" applyNumberFormat="1" applyBorder="1"/>
    <xf numFmtId="0" fontId="0" fillId="0" borderId="1" xfId="0" applyBorder="1" applyAlignment="1"/>
    <xf numFmtId="4" fontId="0" fillId="0" borderId="4" xfId="0" applyNumberFormat="1" applyBorder="1"/>
    <xf numFmtId="4" fontId="0" fillId="0" borderId="1" xfId="0" applyNumberFormat="1" applyBorder="1"/>
    <xf numFmtId="0" fontId="0" fillId="0" borderId="5" xfId="0" applyBorder="1"/>
    <xf numFmtId="4" fontId="0" fillId="0" borderId="6" xfId="0" applyNumberFormat="1" applyBorder="1"/>
    <xf numFmtId="4" fontId="0" fillId="0" borderId="5" xfId="0" applyNumberFormat="1" applyBorder="1"/>
    <xf numFmtId="4" fontId="0" fillId="0" borderId="7" xfId="0" applyNumberFormat="1" applyBorder="1"/>
    <xf numFmtId="4" fontId="0" fillId="0" borderId="0" xfId="0" applyNumberFormat="1" applyFill="1" applyBorder="1"/>
    <xf numFmtId="4" fontId="0" fillId="2" borderId="1" xfId="0" applyNumberFormat="1" applyFill="1" applyBorder="1"/>
    <xf numFmtId="4" fontId="0" fillId="2" borderId="0" xfId="0" applyNumberFormat="1" applyFill="1" applyBorder="1"/>
    <xf numFmtId="4" fontId="0" fillId="0" borderId="6" xfId="0" applyNumberFormat="1" applyFill="1" applyBorder="1"/>
    <xf numFmtId="0" fontId="0" fillId="3" borderId="0" xfId="0" applyFill="1"/>
    <xf numFmtId="0" fontId="0" fillId="0" borderId="0" xfId="0" applyFill="1"/>
    <xf numFmtId="4" fontId="0" fillId="0" borderId="3" xfId="0" applyNumberForma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abSelected="1" topLeftCell="C1" zoomScale="136" zoomScaleNormal="136" workbookViewId="0">
      <selection activeCell="T26" sqref="T26"/>
    </sheetView>
  </sheetViews>
  <sheetFormatPr defaultRowHeight="15" x14ac:dyDescent="0.25"/>
  <cols>
    <col min="3" max="3" width="11" customWidth="1"/>
    <col min="4" max="4" width="6.5703125" customWidth="1"/>
    <col min="5" max="5" width="11.140625" customWidth="1"/>
    <col min="6" max="6" width="11.85546875" customWidth="1"/>
    <col min="10" max="10" width="10.42578125" customWidth="1"/>
    <col min="13" max="13" width="10.7109375" customWidth="1"/>
    <col min="17" max="17" width="9.7109375" customWidth="1"/>
    <col min="19" max="19" width="8.140625" customWidth="1"/>
    <col min="20" max="20" width="10.7109375" customWidth="1"/>
  </cols>
  <sheetData>
    <row r="1" spans="1:20" x14ac:dyDescent="0.25">
      <c r="A1" s="1"/>
      <c r="B1" s="1"/>
      <c r="C1" s="2" t="s">
        <v>24</v>
      </c>
      <c r="D1" s="2"/>
      <c r="E1" s="1"/>
      <c r="F1" s="1"/>
      <c r="H1" s="1"/>
      <c r="I1" s="1"/>
      <c r="J1" s="8" t="s">
        <v>51</v>
      </c>
      <c r="K1" s="8"/>
      <c r="L1" s="1"/>
      <c r="M1" s="1"/>
    </row>
    <row r="2" spans="1:20" ht="15.75" thickBot="1" x14ac:dyDescent="0.3">
      <c r="A2" t="s">
        <v>12</v>
      </c>
      <c r="B2" t="s">
        <v>34</v>
      </c>
      <c r="C2" s="9">
        <v>20000</v>
      </c>
      <c r="D2" t="s">
        <v>12</v>
      </c>
      <c r="E2" t="s">
        <v>2</v>
      </c>
      <c r="F2" s="18">
        <f>C2</f>
        <v>20000</v>
      </c>
      <c r="H2" t="s">
        <v>9</v>
      </c>
      <c r="I2" t="s">
        <v>50</v>
      </c>
      <c r="J2" s="9">
        <v>1000</v>
      </c>
      <c r="K2" t="s">
        <v>9</v>
      </c>
      <c r="L2" t="s">
        <v>1</v>
      </c>
      <c r="M2" s="9">
        <v>1000</v>
      </c>
    </row>
    <row r="3" spans="1:20" ht="15.75" thickTop="1" x14ac:dyDescent="0.25"/>
    <row r="4" spans="1:20" x14ac:dyDescent="0.25">
      <c r="A4" s="1"/>
      <c r="B4" s="1"/>
      <c r="C4" s="22" t="s">
        <v>6</v>
      </c>
      <c r="D4" s="22"/>
      <c r="E4" s="1"/>
      <c r="F4" s="1"/>
      <c r="H4" s="1"/>
      <c r="I4" s="1"/>
      <c r="J4" s="8" t="s">
        <v>29</v>
      </c>
      <c r="K4" s="8"/>
      <c r="L4" s="1"/>
      <c r="M4" s="1"/>
      <c r="O4" s="1"/>
      <c r="P4" s="1"/>
      <c r="Q4" s="22" t="s">
        <v>1</v>
      </c>
      <c r="R4" s="22"/>
      <c r="S4" s="1"/>
      <c r="T4" s="1"/>
    </row>
    <row r="5" spans="1:20" ht="15.75" thickBot="1" x14ac:dyDescent="0.3">
      <c r="A5" t="s">
        <v>10</v>
      </c>
      <c r="B5" t="s">
        <v>2</v>
      </c>
      <c r="C5" s="9">
        <f>15000*0.6</f>
        <v>9000</v>
      </c>
      <c r="D5" t="s">
        <v>9</v>
      </c>
      <c r="E5" t="s">
        <v>17</v>
      </c>
      <c r="F5" s="9">
        <v>9000</v>
      </c>
      <c r="H5" t="s">
        <v>30</v>
      </c>
      <c r="I5" t="s">
        <v>2</v>
      </c>
      <c r="J5" s="9">
        <v>4800</v>
      </c>
      <c r="K5" t="s">
        <v>9</v>
      </c>
      <c r="L5" t="s">
        <v>1</v>
      </c>
      <c r="M5" s="9">
        <v>4800</v>
      </c>
      <c r="O5" t="s">
        <v>9</v>
      </c>
      <c r="P5" t="s">
        <v>0</v>
      </c>
      <c r="Q5" s="4">
        <v>1000</v>
      </c>
      <c r="R5" t="s">
        <v>9</v>
      </c>
      <c r="S5" t="s">
        <v>25</v>
      </c>
      <c r="T5" s="7">
        <v>30000</v>
      </c>
    </row>
    <row r="6" spans="1:20" ht="15.75" thickTop="1" x14ac:dyDescent="0.25">
      <c r="O6" s="20" t="s">
        <v>9</v>
      </c>
      <c r="P6" s="20" t="s">
        <v>17</v>
      </c>
      <c r="Q6" s="21">
        <v>9000</v>
      </c>
      <c r="R6" t="s">
        <v>9</v>
      </c>
      <c r="S6" t="s">
        <v>28</v>
      </c>
      <c r="T6" s="7">
        <v>22500</v>
      </c>
    </row>
    <row r="7" spans="1:20" x14ac:dyDescent="0.25">
      <c r="A7" s="1"/>
      <c r="B7" s="1"/>
      <c r="C7" s="22" t="s">
        <v>7</v>
      </c>
      <c r="D7" s="22"/>
      <c r="E7" s="1"/>
      <c r="F7" s="1"/>
      <c r="O7" s="20" t="s">
        <v>9</v>
      </c>
      <c r="P7" s="20" t="s">
        <v>20</v>
      </c>
      <c r="Q7" s="21">
        <v>7500</v>
      </c>
    </row>
    <row r="8" spans="1:20" x14ac:dyDescent="0.25">
      <c r="A8" t="s">
        <v>11</v>
      </c>
      <c r="B8" t="s">
        <v>2</v>
      </c>
      <c r="C8" s="4">
        <v>8000</v>
      </c>
      <c r="D8" t="s">
        <v>9</v>
      </c>
      <c r="E8" t="s">
        <v>20</v>
      </c>
      <c r="F8" s="4">
        <f>C8-F9</f>
        <v>7500</v>
      </c>
      <c r="H8" s="1"/>
      <c r="I8" s="1"/>
      <c r="J8" s="8" t="s">
        <v>26</v>
      </c>
      <c r="K8" s="8"/>
      <c r="L8" s="1"/>
      <c r="M8" s="1"/>
      <c r="O8" t="s">
        <v>9</v>
      </c>
      <c r="P8" t="s">
        <v>31</v>
      </c>
      <c r="Q8" s="6">
        <v>4800</v>
      </c>
    </row>
    <row r="9" spans="1:20" ht="15.75" thickBot="1" x14ac:dyDescent="0.3">
      <c r="C9" s="11"/>
      <c r="D9" t="s">
        <v>9</v>
      </c>
      <c r="E9" t="s">
        <v>4</v>
      </c>
      <c r="F9" s="10">
        <v>500</v>
      </c>
      <c r="H9" t="s">
        <v>9</v>
      </c>
      <c r="I9" t="s">
        <v>1</v>
      </c>
      <c r="J9" s="9">
        <v>30000</v>
      </c>
      <c r="K9" t="s">
        <v>13</v>
      </c>
      <c r="L9" t="s">
        <v>2</v>
      </c>
      <c r="M9" s="9">
        <v>30000</v>
      </c>
      <c r="O9" t="s">
        <v>9</v>
      </c>
      <c r="P9" t="s">
        <v>33</v>
      </c>
      <c r="Q9" s="16">
        <f>Q10-Q8-Q7-Q6-Q5</f>
        <v>30200</v>
      </c>
      <c r="T9" s="1"/>
    </row>
    <row r="10" spans="1:20" ht="16.5" thickTop="1" thickBot="1" x14ac:dyDescent="0.3">
      <c r="C10" s="9">
        <f>SUM(C8:C9)</f>
        <v>8000</v>
      </c>
      <c r="F10" s="12">
        <f>C10</f>
        <v>8000</v>
      </c>
      <c r="Q10" s="12">
        <f>T10</f>
        <v>52500</v>
      </c>
      <c r="T10" s="12">
        <f>SUM(T5:T9)</f>
        <v>52500</v>
      </c>
    </row>
    <row r="11" spans="1:20" ht="15.75" thickTop="1" x14ac:dyDescent="0.25">
      <c r="H11" s="1"/>
      <c r="I11" s="1"/>
      <c r="J11" s="8" t="s">
        <v>27</v>
      </c>
      <c r="K11" s="8"/>
      <c r="L11" s="1"/>
      <c r="M11" s="1"/>
    </row>
    <row r="12" spans="1:20" ht="15.75" thickBot="1" x14ac:dyDescent="0.3">
      <c r="A12" s="1"/>
      <c r="B12" s="1"/>
      <c r="C12" s="22" t="s">
        <v>2</v>
      </c>
      <c r="D12" s="22"/>
      <c r="E12" s="1"/>
      <c r="F12" s="1"/>
      <c r="H12" t="s">
        <v>9</v>
      </c>
      <c r="I12" t="s">
        <v>1</v>
      </c>
      <c r="J12" s="9">
        <v>22500</v>
      </c>
      <c r="K12" t="s">
        <v>15</v>
      </c>
      <c r="L12" t="s">
        <v>2</v>
      </c>
      <c r="M12" s="9">
        <v>22500</v>
      </c>
      <c r="O12" s="1"/>
      <c r="P12" s="1"/>
      <c r="Q12" s="22" t="s">
        <v>4</v>
      </c>
      <c r="R12" s="22"/>
      <c r="S12" s="1"/>
      <c r="T12" s="1"/>
    </row>
    <row r="13" spans="1:20" ht="15.75" thickTop="1" x14ac:dyDescent="0.25">
      <c r="A13" t="s">
        <v>12</v>
      </c>
      <c r="B13" t="s">
        <v>24</v>
      </c>
      <c r="C13" s="4">
        <v>20000</v>
      </c>
      <c r="D13" t="s">
        <v>10</v>
      </c>
      <c r="E13" t="s">
        <v>6</v>
      </c>
      <c r="F13" s="7">
        <v>9000</v>
      </c>
      <c r="O13" t="s">
        <v>9</v>
      </c>
      <c r="P13" t="s">
        <v>2</v>
      </c>
      <c r="Q13" s="4">
        <f>F18</f>
        <v>30700</v>
      </c>
      <c r="R13" t="s">
        <v>9</v>
      </c>
      <c r="S13" t="s">
        <v>3</v>
      </c>
      <c r="T13" s="17">
        <f>C28</f>
        <v>35200</v>
      </c>
    </row>
    <row r="14" spans="1:20" x14ac:dyDescent="0.25">
      <c r="A14" t="s">
        <v>13</v>
      </c>
      <c r="B14" t="s">
        <v>14</v>
      </c>
      <c r="C14" s="6">
        <v>30000</v>
      </c>
      <c r="D14" t="s">
        <v>11</v>
      </c>
      <c r="E14" t="s">
        <v>7</v>
      </c>
      <c r="F14" s="7">
        <v>8000</v>
      </c>
      <c r="H14" s="1"/>
      <c r="I14" s="1"/>
      <c r="J14" s="8" t="s">
        <v>18</v>
      </c>
      <c r="K14" s="8"/>
      <c r="L14" s="1"/>
      <c r="M14" s="1"/>
      <c r="O14" t="s">
        <v>9</v>
      </c>
      <c r="P14" t="s">
        <v>5</v>
      </c>
      <c r="Q14" s="6">
        <v>4000</v>
      </c>
    </row>
    <row r="15" spans="1:20" ht="15.75" thickBot="1" x14ac:dyDescent="0.3">
      <c r="A15" t="s">
        <v>15</v>
      </c>
      <c r="B15" t="s">
        <v>16</v>
      </c>
      <c r="C15" s="6">
        <v>22500</v>
      </c>
      <c r="D15" t="s">
        <v>21</v>
      </c>
      <c r="E15" t="s">
        <v>5</v>
      </c>
      <c r="F15" s="7">
        <v>5000</v>
      </c>
      <c r="H15" t="s">
        <v>9</v>
      </c>
      <c r="I15" t="s">
        <v>6</v>
      </c>
      <c r="J15" s="9">
        <v>9000</v>
      </c>
      <c r="K15" t="s">
        <v>9</v>
      </c>
      <c r="L15" t="s">
        <v>1</v>
      </c>
      <c r="M15" s="9">
        <v>9000</v>
      </c>
      <c r="O15" t="s">
        <v>9</v>
      </c>
      <c r="P15" t="s">
        <v>7</v>
      </c>
      <c r="Q15" s="13">
        <v>500</v>
      </c>
      <c r="T15" s="1"/>
    </row>
    <row r="16" spans="1:20" ht="16.5" thickTop="1" thickBot="1" x14ac:dyDescent="0.3">
      <c r="D16" t="s">
        <v>22</v>
      </c>
      <c r="E16" t="s">
        <v>8</v>
      </c>
      <c r="F16" s="15">
        <v>15000</v>
      </c>
      <c r="J16" s="5"/>
      <c r="Q16" s="9">
        <f>SUM(Q13:Q15)</f>
        <v>35200</v>
      </c>
      <c r="T16" s="12">
        <f>Q16</f>
        <v>35200</v>
      </c>
    </row>
    <row r="17" spans="1:20" ht="15.75" thickTop="1" x14ac:dyDescent="0.25">
      <c r="D17" t="s">
        <v>30</v>
      </c>
      <c r="E17" t="s">
        <v>32</v>
      </c>
      <c r="F17" s="15">
        <v>4800</v>
      </c>
      <c r="H17" s="1"/>
      <c r="I17" s="1"/>
      <c r="J17" s="8" t="s">
        <v>19</v>
      </c>
      <c r="K17" s="8"/>
      <c r="L17" s="1"/>
      <c r="M17" s="1"/>
    </row>
    <row r="18" spans="1:20" ht="15.75" thickBot="1" x14ac:dyDescent="0.3">
      <c r="C18" s="11"/>
      <c r="D18" t="s">
        <v>9</v>
      </c>
      <c r="E18" t="s">
        <v>4</v>
      </c>
      <c r="F18" s="10">
        <f>F19-SUM(F13:F17)</f>
        <v>30700</v>
      </c>
      <c r="H18" t="s">
        <v>9</v>
      </c>
      <c r="I18" t="s">
        <v>7</v>
      </c>
      <c r="J18" s="9">
        <v>7500</v>
      </c>
      <c r="K18" t="s">
        <v>9</v>
      </c>
      <c r="L18" t="s">
        <v>1</v>
      </c>
      <c r="M18" s="9">
        <v>7500</v>
      </c>
    </row>
    <row r="19" spans="1:20" ht="16.5" thickTop="1" thickBot="1" x14ac:dyDescent="0.3">
      <c r="C19" s="14">
        <f>SUM(C13:C18)</f>
        <v>72500</v>
      </c>
      <c r="F19" s="14">
        <f>C19</f>
        <v>72500</v>
      </c>
      <c r="J19" s="5"/>
    </row>
    <row r="20" spans="1:20" ht="15.75" thickTop="1" x14ac:dyDescent="0.25">
      <c r="H20" s="1"/>
      <c r="I20" s="1"/>
      <c r="J20" s="8" t="s">
        <v>8</v>
      </c>
      <c r="K20" s="8"/>
      <c r="L20" s="1"/>
      <c r="M20" s="1"/>
    </row>
    <row r="21" spans="1:20" ht="15.75" thickBot="1" x14ac:dyDescent="0.3">
      <c r="A21" s="1"/>
      <c r="B21" s="1"/>
      <c r="C21" s="22" t="s">
        <v>5</v>
      </c>
      <c r="D21" s="22"/>
      <c r="E21" s="1"/>
      <c r="F21" s="1"/>
      <c r="H21" t="s">
        <v>22</v>
      </c>
      <c r="I21" t="s">
        <v>2</v>
      </c>
      <c r="J21" s="9">
        <v>15000</v>
      </c>
      <c r="K21" t="s">
        <v>9</v>
      </c>
      <c r="L21" t="s">
        <v>3</v>
      </c>
      <c r="M21" s="9">
        <v>15000</v>
      </c>
    </row>
    <row r="22" spans="1:20" ht="15.75" thickTop="1" x14ac:dyDescent="0.25">
      <c r="A22" t="s">
        <v>21</v>
      </c>
      <c r="B22" t="s">
        <v>2</v>
      </c>
      <c r="C22" s="4">
        <v>5000</v>
      </c>
      <c r="D22" t="s">
        <v>9</v>
      </c>
      <c r="E22" t="s">
        <v>52</v>
      </c>
      <c r="F22" s="7">
        <v>1000</v>
      </c>
    </row>
    <row r="23" spans="1:20" x14ac:dyDescent="0.25">
      <c r="C23" s="11"/>
      <c r="D23" t="s">
        <v>9</v>
      </c>
      <c r="E23" t="s">
        <v>4</v>
      </c>
      <c r="F23" s="10">
        <v>4000</v>
      </c>
    </row>
    <row r="24" spans="1:20" ht="15.75" thickBot="1" x14ac:dyDescent="0.3">
      <c r="A24" s="5"/>
      <c r="B24" s="5"/>
      <c r="C24" s="12">
        <f>SUM(C22:C23)</f>
        <v>5000</v>
      </c>
      <c r="D24" s="5"/>
      <c r="E24" s="5"/>
      <c r="F24" s="12">
        <f>SUM(F22:F23)</f>
        <v>5000</v>
      </c>
      <c r="H24" s="19" t="s">
        <v>35</v>
      </c>
      <c r="I24" s="19"/>
      <c r="O24" s="19" t="s">
        <v>43</v>
      </c>
    </row>
    <row r="25" spans="1:20" ht="15.75" thickTop="1" x14ac:dyDescent="0.25">
      <c r="H25" t="s">
        <v>10</v>
      </c>
      <c r="I25" t="s">
        <v>36</v>
      </c>
      <c r="M25" s="7">
        <v>9000</v>
      </c>
      <c r="O25" t="s">
        <v>9</v>
      </c>
      <c r="P25" t="s">
        <v>53</v>
      </c>
      <c r="T25" s="7">
        <v>1000</v>
      </c>
    </row>
    <row r="26" spans="1:20" x14ac:dyDescent="0.25">
      <c r="A26" s="1"/>
      <c r="B26" s="1"/>
      <c r="C26" s="22" t="s">
        <v>23</v>
      </c>
      <c r="D26" s="22"/>
      <c r="E26" s="1"/>
      <c r="F26" s="1"/>
      <c r="H26" t="s">
        <v>11</v>
      </c>
      <c r="I26" t="s">
        <v>37</v>
      </c>
      <c r="M26" s="7">
        <v>8000</v>
      </c>
      <c r="O26" t="s">
        <v>9</v>
      </c>
      <c r="P26" t="s">
        <v>44</v>
      </c>
      <c r="T26" s="7">
        <v>500</v>
      </c>
    </row>
    <row r="27" spans="1:20" x14ac:dyDescent="0.25">
      <c r="A27" t="s">
        <v>9</v>
      </c>
      <c r="B27" t="s">
        <v>8</v>
      </c>
      <c r="C27" s="4">
        <v>15000</v>
      </c>
      <c r="D27" t="s">
        <v>12</v>
      </c>
      <c r="E27" t="s">
        <v>24</v>
      </c>
      <c r="F27" s="7">
        <v>20000</v>
      </c>
      <c r="H27" t="s">
        <v>21</v>
      </c>
      <c r="I27" t="s">
        <v>38</v>
      </c>
      <c r="M27" s="7">
        <v>5000</v>
      </c>
      <c r="O27" t="s">
        <v>9</v>
      </c>
      <c r="P27" t="s">
        <v>46</v>
      </c>
      <c r="T27" s="7">
        <v>9000</v>
      </c>
    </row>
    <row r="28" spans="1:20" x14ac:dyDescent="0.25">
      <c r="A28" t="s">
        <v>9</v>
      </c>
      <c r="B28" t="s">
        <v>4</v>
      </c>
      <c r="C28" s="13">
        <f>C29-C27</f>
        <v>35200</v>
      </c>
      <c r="D28" t="s">
        <v>9</v>
      </c>
      <c r="E28" t="s">
        <v>1</v>
      </c>
      <c r="F28" s="10">
        <f>Q9</f>
        <v>30200</v>
      </c>
      <c r="H28" t="s">
        <v>13</v>
      </c>
      <c r="I28" t="s">
        <v>39</v>
      </c>
      <c r="M28" s="7">
        <v>30000</v>
      </c>
      <c r="O28" t="s">
        <v>9</v>
      </c>
      <c r="P28" t="s">
        <v>45</v>
      </c>
      <c r="T28" s="7">
        <v>7500</v>
      </c>
    </row>
    <row r="29" spans="1:20" ht="15.75" thickBot="1" x14ac:dyDescent="0.3">
      <c r="C29" s="9">
        <f>F29</f>
        <v>50200</v>
      </c>
      <c r="F29" s="12">
        <f>SUM(F27:F28)</f>
        <v>50200</v>
      </c>
      <c r="H29" t="s">
        <v>15</v>
      </c>
      <c r="I29" t="s">
        <v>40</v>
      </c>
      <c r="M29" s="7">
        <v>22500</v>
      </c>
      <c r="O29" t="s">
        <v>9</v>
      </c>
      <c r="P29" t="s">
        <v>47</v>
      </c>
      <c r="T29" s="7">
        <v>15000</v>
      </c>
    </row>
    <row r="30" spans="1:20" ht="15.75" thickTop="1" x14ac:dyDescent="0.25">
      <c r="C30" s="3"/>
      <c r="H30" t="s">
        <v>22</v>
      </c>
      <c r="I30" t="s">
        <v>41</v>
      </c>
      <c r="M30" s="7">
        <v>15000</v>
      </c>
      <c r="O30" t="s">
        <v>9</v>
      </c>
      <c r="P30" t="s">
        <v>48</v>
      </c>
      <c r="T30" s="7">
        <v>30200</v>
      </c>
    </row>
    <row r="31" spans="1:20" x14ac:dyDescent="0.25">
      <c r="H31" t="s">
        <v>30</v>
      </c>
      <c r="I31" t="s">
        <v>42</v>
      </c>
      <c r="M31" s="7">
        <v>4800</v>
      </c>
      <c r="O31" t="s">
        <v>49</v>
      </c>
    </row>
    <row r="35" spans="10:10" x14ac:dyDescent="0.25">
      <c r="J35" s="5"/>
    </row>
    <row r="36" spans="10:10" x14ac:dyDescent="0.25">
      <c r="J36" s="5"/>
    </row>
    <row r="37" spans="10:10" x14ac:dyDescent="0.25">
      <c r="J37" s="5"/>
    </row>
  </sheetData>
  <mergeCells count="7">
    <mergeCell ref="C21:D21"/>
    <mergeCell ref="Q4:R4"/>
    <mergeCell ref="C26:D26"/>
    <mergeCell ref="Q12:R12"/>
    <mergeCell ref="C4:D4"/>
    <mergeCell ref="C7:D7"/>
    <mergeCell ref="C12:D12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FH-Hagenberg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P20016</dc:creator>
  <cp:lastModifiedBy>Hinterholzer Stefan</cp:lastModifiedBy>
  <cp:lastPrinted>2013-11-04T10:06:15Z</cp:lastPrinted>
  <dcterms:created xsi:type="dcterms:W3CDTF">2009-11-30T09:42:31Z</dcterms:created>
  <dcterms:modified xsi:type="dcterms:W3CDTF">2013-11-04T10:08:53Z</dcterms:modified>
</cp:coreProperties>
</file>
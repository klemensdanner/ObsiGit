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"/>
    </mc:Choice>
  </mc:AlternateContent>
  <xr:revisionPtr revIDLastSave="0" documentId="13_ncr:1_{C666D6B2-31A5-4B5D-AF67-379F5AF96C1A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T18" i="1"/>
  <c r="C52" i="1"/>
  <c r="F53" i="1"/>
  <c r="C47" i="1"/>
  <c r="F37" i="1"/>
  <c r="C38" i="1"/>
  <c r="F31" i="1"/>
  <c r="F25" i="1"/>
  <c r="Q7" i="1"/>
  <c r="T6" i="1" s="1"/>
  <c r="C27" i="1"/>
  <c r="C33" i="1" l="1"/>
  <c r="F15" i="1"/>
  <c r="C15" i="1"/>
</calcChain>
</file>

<file path=xl/sharedStrings.xml><?xml version="1.0" encoding="utf-8"?>
<sst xmlns="http://schemas.openxmlformats.org/spreadsheetml/2006/main" count="194" uniqueCount="81">
  <si>
    <t>Kassa</t>
  </si>
  <si>
    <t>Privat</t>
  </si>
  <si>
    <t>31.12.</t>
  </si>
  <si>
    <t>1.1.</t>
  </si>
  <si>
    <t>Eigenkapital</t>
  </si>
  <si>
    <t>EBK</t>
  </si>
  <si>
    <t>Buchungssätze</t>
  </si>
  <si>
    <t>Abschluss (Um- und Nachbuchungen)</t>
  </si>
  <si>
    <t>Abschlussbuchungen (BS nicht erforderlich)</t>
  </si>
  <si>
    <t>Lieververb.</t>
  </si>
  <si>
    <t>Büroeinrichtung</t>
  </si>
  <si>
    <t>Bank</t>
  </si>
  <si>
    <t>Handelswaren</t>
  </si>
  <si>
    <t>Lieferforderung.</t>
  </si>
  <si>
    <t>EBK (Kl. 9)</t>
  </si>
  <si>
    <t>Büroeinrichtung (Kl. 0)</t>
  </si>
  <si>
    <t>Kassa (Kl. 2)</t>
  </si>
  <si>
    <t>Bank (Kl. 2)</t>
  </si>
  <si>
    <t>Handelswaren (Kl. 1)</t>
  </si>
  <si>
    <t>Lieferforderungen (Kl. 2)</t>
  </si>
  <si>
    <t>Eigenkapital (Kl. 9)</t>
  </si>
  <si>
    <t>Lieferverbindlichkeiten (Kl. 3)</t>
  </si>
  <si>
    <t>1.</t>
  </si>
  <si>
    <t>2.</t>
  </si>
  <si>
    <t>3.</t>
  </si>
  <si>
    <t>4.</t>
  </si>
  <si>
    <t>Provisionserträge (Kl. 4)</t>
  </si>
  <si>
    <t>Umsatzerlöse (Kl. 4)</t>
  </si>
  <si>
    <t>5.</t>
  </si>
  <si>
    <t>6.</t>
  </si>
  <si>
    <t>Versicherungsaufwand (K. 7)</t>
  </si>
  <si>
    <t>7.</t>
  </si>
  <si>
    <t>8.</t>
  </si>
  <si>
    <t>Zinserlöse (Kl. 8)</t>
  </si>
  <si>
    <t>9.</t>
  </si>
  <si>
    <t>Wareneinsatz (Kl. 5)</t>
  </si>
  <si>
    <t>Abschreibung (AfA; Kl. 7)</t>
  </si>
  <si>
    <t>GuV (Kl. 9)</t>
  </si>
  <si>
    <t>SBK (K. 9)</t>
  </si>
  <si>
    <t>Mietaufwand (Kl. 7)</t>
  </si>
  <si>
    <t>Bank / Lieferforderung</t>
  </si>
  <si>
    <t>Lieferforderungen</t>
  </si>
  <si>
    <t>Mietaufwand / Kassa</t>
  </si>
  <si>
    <t>Mietaufwand</t>
  </si>
  <si>
    <t>Lieferverbindlichkeiten / Bank</t>
  </si>
  <si>
    <t>Lieferverbindlichkeiten</t>
  </si>
  <si>
    <t>Kassa / Umsatzerlös</t>
  </si>
  <si>
    <t>Umsatzerlös</t>
  </si>
  <si>
    <t>Kassa / Provisionserträge</t>
  </si>
  <si>
    <t>Provisionserträge</t>
  </si>
  <si>
    <t>Versicherungsaufwand / Kassa</t>
  </si>
  <si>
    <t>Versicherungsaufwand</t>
  </si>
  <si>
    <t>Bank / Zinserlöse</t>
  </si>
  <si>
    <t>Zinserlöse</t>
  </si>
  <si>
    <t>Handelswaren / Lieferverbindlichkeiten</t>
  </si>
  <si>
    <t>Abschreibung</t>
  </si>
  <si>
    <t>Wareneinsatz</t>
  </si>
  <si>
    <t>Handeslwaren</t>
  </si>
  <si>
    <t>GuV</t>
  </si>
  <si>
    <t>Umsatzerlöse</t>
  </si>
  <si>
    <t>//immer mit Eigenkapital auffüllen? Hier haben wir ja eigentlich -20</t>
  </si>
  <si>
    <t>Abschreibung / Büroeinrichtung</t>
  </si>
  <si>
    <t>Wareneinsatz / Handelswaren</t>
  </si>
  <si>
    <t>Eigenkapital / Privat</t>
  </si>
  <si>
    <t>GuV / Abschreibung</t>
  </si>
  <si>
    <t>Umsatzerlöse / GuV</t>
  </si>
  <si>
    <t>Provisionserträge / GuV</t>
  </si>
  <si>
    <t>Zinserlöse / GuV</t>
  </si>
  <si>
    <t>GuV / Versicherungsaufwand</t>
  </si>
  <si>
    <t>GuV / Wareneinsatz</t>
  </si>
  <si>
    <t>GuV / Mietaufwand</t>
  </si>
  <si>
    <t>SBK/Büroeinrichtung</t>
  </si>
  <si>
    <t>SBK</t>
  </si>
  <si>
    <t>Kassa / Privat</t>
  </si>
  <si>
    <t>SBK / Kassa</t>
  </si>
  <si>
    <t>SBK / Bank</t>
  </si>
  <si>
    <t>SBK / Handelswaren</t>
  </si>
  <si>
    <t>SBK / Lieferforderungen</t>
  </si>
  <si>
    <t>Eigenkapital / GuV</t>
  </si>
  <si>
    <t>Eigenkapital / SBK</t>
  </si>
  <si>
    <t>Lieferverbindlichkeiten / SBK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</si>
</sst>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" fontId="1" fillId="0" borderId="4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0" fontId="1" fillId="0" borderId="0" xfId="0" applyNumberFormat="1" applyFont="1"/>
    <xf numFmtId="0" fontId="2" fillId="2" borderId="0" xfId="0" applyFont="1" applyFill="1"/>
    <xf numFmtId="1" fontId="1" fillId="0" borderId="0" xfId="0" applyNumberFormat="1" applyFont="1"/>
    <xf numFmtId="1" fontId="1" fillId="0" borderId="6" xfId="0" applyNumberFormat="1" applyFont="1" applyBorder="1"/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1" fontId="1" fillId="0" borderId="4" xfId="0" applyNumberFormat="1" applyFont="1" applyBorder="1"/>
    <xf numFmtId="1" fontId="1" fillId="0" borderId="8" xfId="0" applyNumberFormat="1" applyFont="1" applyBorder="1"/>
    <xf numFmtId="1" fontId="1" fillId="0" borderId="7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1" fillId="0" borderId="5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59777</xdr:colOff>
      <xdr:row>0</xdr:row>
      <xdr:rowOff>76815</xdr:rowOff>
    </xdr:from>
    <xdr:to>
      <xdr:col>5</xdr:col>
      <xdr:colOff>148523</xdr:colOff>
      <xdr:row>6</xdr:row>
      <xdr:rowOff>128768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83" t="14710" r="19160" b="40193"/>
        <a:stretch/>
      </xdr:blipFill>
      <xdr:spPr>
        <a:xfrm>
          <a:off x="59777" y="76815"/>
          <a:ext cx="3464195" cy="973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54"/>
  <sheetViews>
    <sheetView tabSelected="1" zoomScaleNormal="100" workbookViewId="0">
      <selection activeCell="M36" sqref="M36"/>
    </sheetView>
  </sheetViews>
  <sheetFormatPr baseColWidth="10" defaultColWidth="9.07421875" defaultRowHeight="12" customHeight="1" x14ac:dyDescent="0.35"/>
  <cols>
    <col min="1" max="1" width="4.69140625" style="1" customWidth="1"/>
    <col min="2" max="2" width="16" style="1" bestFit="1" customWidth="1"/>
    <col min="3" max="3" width="8.69140625" style="7" customWidth="1"/>
    <col min="4" max="4" width="4.69140625" style="1" customWidth="1"/>
    <col min="5" max="5" width="16" style="1" bestFit="1" customWidth="1"/>
    <col min="6" max="6" width="8.69140625" style="7" customWidth="1"/>
    <col min="7" max="7" width="9.07421875" style="1"/>
    <col min="8" max="8" width="4.69140625" style="1" customWidth="1"/>
    <col min="9" max="9" width="15.69140625" style="1" bestFit="1" customWidth="1"/>
    <col min="10" max="10" width="8.69140625" style="1" customWidth="1"/>
    <col min="11" max="11" width="4.69140625" style="1" customWidth="1"/>
    <col min="12" max="12" width="11.69140625" style="1" customWidth="1"/>
    <col min="13" max="13" width="8.69140625" style="1" customWidth="1"/>
    <col min="14" max="14" width="9.07421875" style="1"/>
    <col min="15" max="15" width="4.69140625" style="1" customWidth="1"/>
    <col min="16" max="16" width="15.53515625" style="1" bestFit="1" customWidth="1"/>
    <col min="17" max="17" width="9" style="1" customWidth="1"/>
    <col min="18" max="18" width="7.23046875" style="1" bestFit="1" customWidth="1"/>
    <col min="19" max="19" width="15.3046875" style="1" customWidth="1"/>
    <col min="20" max="20" width="9.07421875" style="1" customWidth="1"/>
    <col min="21" max="16384" width="9.07421875" style="1"/>
  </cols>
  <sheetData>
    <row r="2" spans="1:21" ht="12" customHeight="1" x14ac:dyDescent="0.35">
      <c r="H2" s="20" t="s">
        <v>36</v>
      </c>
      <c r="I2" s="20"/>
      <c r="J2" s="20"/>
      <c r="K2" s="20"/>
      <c r="L2" s="20"/>
      <c r="M2" s="20"/>
      <c r="O2" s="3"/>
      <c r="P2" s="3"/>
      <c r="Q2" s="3" t="s">
        <v>37</v>
      </c>
      <c r="R2" s="3"/>
      <c r="S2" s="3"/>
      <c r="T2" s="3"/>
    </row>
    <row r="3" spans="1:21" ht="12" customHeight="1" thickBot="1" x14ac:dyDescent="0.4">
      <c r="H3" s="1" t="s">
        <v>2</v>
      </c>
      <c r="I3" s="1" t="s">
        <v>10</v>
      </c>
      <c r="J3" s="2">
        <v>30</v>
      </c>
      <c r="K3" s="1" t="s">
        <v>2</v>
      </c>
      <c r="L3" s="1" t="s">
        <v>58</v>
      </c>
      <c r="M3" s="2">
        <v>30</v>
      </c>
      <c r="O3" s="1" t="s">
        <v>2</v>
      </c>
      <c r="P3" s="1" t="s">
        <v>55</v>
      </c>
      <c r="Q3" s="9">
        <v>30</v>
      </c>
      <c r="R3" s="1" t="s">
        <v>2</v>
      </c>
      <c r="S3" s="1" t="s">
        <v>59</v>
      </c>
      <c r="T3" s="7">
        <v>8</v>
      </c>
    </row>
    <row r="4" spans="1:21" ht="12" customHeight="1" thickTop="1" x14ac:dyDescent="0.35">
      <c r="J4" s="18"/>
      <c r="M4" s="18"/>
      <c r="O4" s="1" t="s">
        <v>2</v>
      </c>
      <c r="P4" s="1" t="s">
        <v>43</v>
      </c>
      <c r="Q4" s="10">
        <v>3</v>
      </c>
      <c r="R4" s="1" t="s">
        <v>2</v>
      </c>
      <c r="S4" s="1" t="s">
        <v>49</v>
      </c>
      <c r="T4" s="7">
        <v>12</v>
      </c>
    </row>
    <row r="5" spans="1:21" ht="12" customHeight="1" x14ac:dyDescent="0.35">
      <c r="H5" s="20" t="s">
        <v>39</v>
      </c>
      <c r="I5" s="20"/>
      <c r="J5" s="20"/>
      <c r="K5" s="20"/>
      <c r="L5" s="20"/>
      <c r="M5" s="20"/>
      <c r="O5" s="1" t="s">
        <v>2</v>
      </c>
      <c r="P5" s="1" t="s">
        <v>51</v>
      </c>
      <c r="Q5" s="10">
        <v>6</v>
      </c>
      <c r="R5" s="1" t="s">
        <v>2</v>
      </c>
      <c r="S5" s="1" t="s">
        <v>53</v>
      </c>
      <c r="T5" s="7">
        <v>4</v>
      </c>
    </row>
    <row r="6" spans="1:21" ht="12" customHeight="1" thickBot="1" x14ac:dyDescent="0.4">
      <c r="H6" s="1">
        <v>2</v>
      </c>
      <c r="I6" s="1" t="s">
        <v>0</v>
      </c>
      <c r="J6" s="2">
        <v>3</v>
      </c>
      <c r="K6" s="1" t="s">
        <v>2</v>
      </c>
      <c r="L6" s="1" t="s">
        <v>58</v>
      </c>
      <c r="M6" s="2">
        <v>3</v>
      </c>
      <c r="O6" s="1" t="s">
        <v>2</v>
      </c>
      <c r="P6" s="1" t="s">
        <v>56</v>
      </c>
      <c r="Q6" s="10">
        <v>5</v>
      </c>
      <c r="R6" s="1" t="s">
        <v>2</v>
      </c>
      <c r="S6" s="1" t="s">
        <v>4</v>
      </c>
      <c r="T6" s="7">
        <f>Q7-(SUM(T3:T5))</f>
        <v>20</v>
      </c>
      <c r="U6" s="1" t="s">
        <v>60</v>
      </c>
    </row>
    <row r="7" spans="1:21" ht="12" customHeight="1" thickTop="1" thickBot="1" x14ac:dyDescent="0.4">
      <c r="J7" s="18"/>
      <c r="M7" s="18"/>
      <c r="Q7" s="8">
        <f>SUM(Q3:Q6)</f>
        <v>44</v>
      </c>
      <c r="T7" s="8">
        <v>44</v>
      </c>
    </row>
    <row r="8" spans="1:21" ht="12" customHeight="1" thickTop="1" x14ac:dyDescent="0.35">
      <c r="H8" s="20" t="s">
        <v>27</v>
      </c>
      <c r="I8" s="20"/>
      <c r="J8" s="20"/>
      <c r="K8" s="20"/>
      <c r="L8" s="20"/>
      <c r="M8" s="20"/>
      <c r="Q8" s="7"/>
      <c r="T8" s="7"/>
    </row>
    <row r="9" spans="1:21" ht="12" customHeight="1" thickBot="1" x14ac:dyDescent="0.4">
      <c r="A9" s="3"/>
      <c r="B9" s="3"/>
      <c r="C9" s="15" t="s">
        <v>14</v>
      </c>
      <c r="D9" s="4"/>
      <c r="E9" s="3"/>
      <c r="F9" s="11"/>
      <c r="H9" s="1" t="s">
        <v>2</v>
      </c>
      <c r="I9" s="1" t="s">
        <v>58</v>
      </c>
      <c r="J9" s="2">
        <v>8</v>
      </c>
      <c r="K9" s="1">
        <v>4</v>
      </c>
      <c r="L9" s="1" t="s">
        <v>0</v>
      </c>
      <c r="M9" s="2">
        <v>8</v>
      </c>
      <c r="Q9" s="7"/>
      <c r="T9" s="7"/>
    </row>
    <row r="10" spans="1:21" ht="12" customHeight="1" thickTop="1" x14ac:dyDescent="0.35">
      <c r="A10" s="1" t="s">
        <v>3</v>
      </c>
      <c r="B10" s="1" t="s">
        <v>4</v>
      </c>
      <c r="C10" s="9">
        <v>230</v>
      </c>
      <c r="D10" s="1" t="s">
        <v>3</v>
      </c>
      <c r="E10" s="1" t="s">
        <v>10</v>
      </c>
      <c r="F10" s="13">
        <v>150</v>
      </c>
      <c r="J10" s="18"/>
      <c r="M10" s="18"/>
      <c r="Q10" s="7"/>
      <c r="T10" s="7"/>
    </row>
    <row r="11" spans="1:21" ht="12" customHeight="1" x14ac:dyDescent="0.35">
      <c r="A11" s="1" t="s">
        <v>3</v>
      </c>
      <c r="B11" s="1" t="s">
        <v>9</v>
      </c>
      <c r="C11" s="10">
        <v>150</v>
      </c>
      <c r="D11" s="1" t="s">
        <v>3</v>
      </c>
      <c r="E11" s="1" t="s">
        <v>0</v>
      </c>
      <c r="F11" s="7">
        <v>20</v>
      </c>
      <c r="H11" s="20" t="s">
        <v>26</v>
      </c>
      <c r="I11" s="20"/>
      <c r="J11" s="20"/>
      <c r="K11" s="20"/>
      <c r="L11" s="20"/>
      <c r="M11" s="20"/>
      <c r="Q11" s="7"/>
      <c r="T11" s="7"/>
    </row>
    <row r="12" spans="1:21" ht="12" customHeight="1" thickBot="1" x14ac:dyDescent="0.4">
      <c r="C12" s="10"/>
      <c r="D12" s="1" t="s">
        <v>3</v>
      </c>
      <c r="E12" s="1" t="s">
        <v>11</v>
      </c>
      <c r="F12" s="7">
        <v>90</v>
      </c>
      <c r="H12" s="1" t="s">
        <v>2</v>
      </c>
      <c r="I12" s="1" t="s">
        <v>58</v>
      </c>
      <c r="J12" s="2">
        <v>12</v>
      </c>
      <c r="K12" s="1">
        <v>5</v>
      </c>
      <c r="L12" s="1" t="s">
        <v>0</v>
      </c>
      <c r="M12" s="2">
        <v>12</v>
      </c>
      <c r="O12" s="3"/>
      <c r="P12" s="3"/>
      <c r="Q12" s="11" t="s">
        <v>38</v>
      </c>
      <c r="R12" s="3"/>
      <c r="S12" s="3"/>
      <c r="T12" s="11"/>
    </row>
    <row r="13" spans="1:21" ht="12" customHeight="1" thickTop="1" x14ac:dyDescent="0.35">
      <c r="C13" s="10"/>
      <c r="D13" s="1" t="s">
        <v>3</v>
      </c>
      <c r="E13" s="1" t="s">
        <v>12</v>
      </c>
      <c r="F13" s="7">
        <v>70</v>
      </c>
      <c r="M13" s="18"/>
      <c r="O13" s="1" t="s">
        <v>2</v>
      </c>
      <c r="P13" s="1" t="s">
        <v>10</v>
      </c>
      <c r="Q13" s="10">
        <v>120</v>
      </c>
      <c r="R13" s="1" t="s">
        <v>2</v>
      </c>
      <c r="S13" s="1" t="s">
        <v>4</v>
      </c>
      <c r="T13" s="7">
        <v>212</v>
      </c>
    </row>
    <row r="14" spans="1:21" ht="12" customHeight="1" x14ac:dyDescent="0.35">
      <c r="C14" s="16"/>
      <c r="D14" s="1" t="s">
        <v>3</v>
      </c>
      <c r="E14" s="1" t="s">
        <v>13</v>
      </c>
      <c r="F14" s="11">
        <v>50</v>
      </c>
      <c r="H14" s="20" t="s">
        <v>33</v>
      </c>
      <c r="I14" s="20"/>
      <c r="J14" s="20"/>
      <c r="K14" s="20"/>
      <c r="L14" s="20"/>
      <c r="M14" s="20"/>
      <c r="O14" s="1" t="s">
        <v>2</v>
      </c>
      <c r="P14" s="1" t="s">
        <v>0</v>
      </c>
      <c r="Q14" s="10">
        <v>33</v>
      </c>
      <c r="R14" s="1" t="s">
        <v>2</v>
      </c>
      <c r="S14" s="1" t="s">
        <v>45</v>
      </c>
      <c r="T14" s="7">
        <v>132</v>
      </c>
    </row>
    <row r="15" spans="1:21" ht="12" customHeight="1" thickBot="1" x14ac:dyDescent="0.4">
      <c r="C15" s="8">
        <f>SUM(C10:C14)</f>
        <v>380</v>
      </c>
      <c r="F15" s="8">
        <f>SUM(F10:F14)</f>
        <v>380</v>
      </c>
      <c r="H15" s="1" t="s">
        <v>2</v>
      </c>
      <c r="I15" s="1" t="s">
        <v>58</v>
      </c>
      <c r="J15" s="2">
        <v>4</v>
      </c>
      <c r="K15" s="1">
        <v>8</v>
      </c>
      <c r="L15" s="1" t="s">
        <v>11</v>
      </c>
      <c r="M15" s="2">
        <v>4</v>
      </c>
      <c r="O15" s="1" t="s">
        <v>2</v>
      </c>
      <c r="P15" s="1" t="s">
        <v>11</v>
      </c>
      <c r="Q15" s="10">
        <v>79</v>
      </c>
      <c r="T15" s="7"/>
    </row>
    <row r="16" spans="1:21" ht="12" customHeight="1" thickTop="1" x14ac:dyDescent="0.35">
      <c r="O16" s="1" t="s">
        <v>2</v>
      </c>
      <c r="P16" s="1" t="s">
        <v>12</v>
      </c>
      <c r="Q16" s="10">
        <v>77</v>
      </c>
      <c r="T16" s="7"/>
    </row>
    <row r="17" spans="1:20" ht="12" customHeight="1" x14ac:dyDescent="0.35">
      <c r="A17" s="19" t="s">
        <v>15</v>
      </c>
      <c r="B17" s="19"/>
      <c r="C17" s="19"/>
      <c r="D17" s="19"/>
      <c r="E17" s="19"/>
      <c r="F17" s="19"/>
      <c r="H17" s="20" t="s">
        <v>30</v>
      </c>
      <c r="I17" s="20"/>
      <c r="J17" s="20"/>
      <c r="K17" s="20"/>
      <c r="L17" s="20"/>
      <c r="M17" s="20"/>
      <c r="O17" s="1" t="s">
        <v>2</v>
      </c>
      <c r="P17" s="1" t="s">
        <v>41</v>
      </c>
      <c r="Q17" s="10">
        <v>35</v>
      </c>
      <c r="T17" s="7"/>
    </row>
    <row r="18" spans="1:20" ht="12" customHeight="1" thickBot="1" x14ac:dyDescent="0.4">
      <c r="A18" s="1" t="s">
        <v>3</v>
      </c>
      <c r="B18" s="1" t="s">
        <v>5</v>
      </c>
      <c r="C18" s="9">
        <v>150</v>
      </c>
      <c r="D18" s="1" t="s">
        <v>2</v>
      </c>
      <c r="E18" s="1" t="s">
        <v>55</v>
      </c>
      <c r="F18" s="7">
        <v>30</v>
      </c>
      <c r="H18" s="1">
        <v>7</v>
      </c>
      <c r="I18" s="1" t="s">
        <v>0</v>
      </c>
      <c r="J18" s="2">
        <v>6</v>
      </c>
      <c r="K18" s="1" t="s">
        <v>2</v>
      </c>
      <c r="L18" s="1" t="s">
        <v>58</v>
      </c>
      <c r="M18" s="2">
        <v>6</v>
      </c>
      <c r="Q18" s="12">
        <f>SUM(Q13:Q17)</f>
        <v>344</v>
      </c>
      <c r="T18" s="8">
        <f>SUM(T13:T14)</f>
        <v>344</v>
      </c>
    </row>
    <row r="19" spans="1:20" ht="12" customHeight="1" thickTop="1" x14ac:dyDescent="0.35">
      <c r="C19" s="16"/>
      <c r="D19" s="1" t="s">
        <v>2</v>
      </c>
      <c r="E19" s="1" t="s">
        <v>72</v>
      </c>
      <c r="F19" s="11">
        <v>120</v>
      </c>
    </row>
    <row r="20" spans="1:20" ht="12" customHeight="1" thickBot="1" x14ac:dyDescent="0.4">
      <c r="C20" s="12">
        <v>150</v>
      </c>
      <c r="F20" s="12">
        <v>150</v>
      </c>
      <c r="H20" s="20" t="s">
        <v>35</v>
      </c>
      <c r="I20" s="20"/>
      <c r="J20" s="20"/>
      <c r="K20" s="20"/>
      <c r="L20" s="20"/>
      <c r="M20" s="20"/>
    </row>
    <row r="21" spans="1:20" ht="12" customHeight="1" thickTop="1" thickBot="1" x14ac:dyDescent="0.4">
      <c r="H21" s="1" t="s">
        <v>2</v>
      </c>
      <c r="I21" s="1" t="s">
        <v>57</v>
      </c>
      <c r="J21" s="2">
        <v>5</v>
      </c>
      <c r="K21" s="1" t="s">
        <v>2</v>
      </c>
      <c r="L21" s="1" t="s">
        <v>58</v>
      </c>
      <c r="M21" s="2">
        <v>5</v>
      </c>
    </row>
    <row r="22" spans="1:20" ht="12" customHeight="1" thickTop="1" x14ac:dyDescent="0.35">
      <c r="A22" s="19" t="s">
        <v>16</v>
      </c>
      <c r="B22" s="19"/>
      <c r="C22" s="19"/>
      <c r="D22" s="19"/>
      <c r="E22" s="19"/>
      <c r="F22" s="19"/>
      <c r="J22" s="18"/>
      <c r="M22" s="18"/>
    </row>
    <row r="23" spans="1:20" ht="12" customHeight="1" x14ac:dyDescent="0.35">
      <c r="A23" s="1" t="s">
        <v>3</v>
      </c>
      <c r="B23" s="1" t="s">
        <v>5</v>
      </c>
      <c r="C23" s="9">
        <v>20</v>
      </c>
      <c r="D23" s="1">
        <v>2</v>
      </c>
      <c r="E23" s="1" t="s">
        <v>43</v>
      </c>
      <c r="F23" s="7">
        <v>3</v>
      </c>
      <c r="H23" s="19" t="s">
        <v>1</v>
      </c>
      <c r="I23" s="19"/>
      <c r="J23" s="19"/>
      <c r="K23" s="19"/>
      <c r="L23" s="19"/>
      <c r="M23" s="19"/>
    </row>
    <row r="24" spans="1:20" ht="12" customHeight="1" thickBot="1" x14ac:dyDescent="0.4">
      <c r="A24" s="1">
        <v>4</v>
      </c>
      <c r="B24" s="1" t="s">
        <v>47</v>
      </c>
      <c r="C24" s="10">
        <v>8</v>
      </c>
      <c r="D24" s="1">
        <v>7</v>
      </c>
      <c r="E24" s="1" t="s">
        <v>51</v>
      </c>
      <c r="F24" s="7">
        <v>6</v>
      </c>
      <c r="H24" s="1" t="s">
        <v>2</v>
      </c>
      <c r="I24" s="1" t="s">
        <v>4</v>
      </c>
      <c r="J24" s="2">
        <v>2</v>
      </c>
      <c r="K24" s="1">
        <v>6</v>
      </c>
      <c r="L24" s="1" t="s">
        <v>0</v>
      </c>
      <c r="M24" s="2">
        <v>2</v>
      </c>
    </row>
    <row r="25" spans="1:20" ht="12" customHeight="1" thickTop="1" x14ac:dyDescent="0.35">
      <c r="A25" s="1">
        <v>5</v>
      </c>
      <c r="B25" s="1" t="s">
        <v>49</v>
      </c>
      <c r="C25" s="10">
        <v>12</v>
      </c>
      <c r="D25" s="1" t="s">
        <v>2</v>
      </c>
      <c r="E25" s="1" t="s">
        <v>72</v>
      </c>
      <c r="F25" s="7">
        <f>F27-F24-F23</f>
        <v>33</v>
      </c>
    </row>
    <row r="26" spans="1:20" ht="12" customHeight="1" x14ac:dyDescent="0.35">
      <c r="A26" s="1">
        <v>6</v>
      </c>
      <c r="B26" s="1" t="s">
        <v>1</v>
      </c>
      <c r="C26" s="7">
        <v>2</v>
      </c>
      <c r="O26" s="6" t="s">
        <v>7</v>
      </c>
      <c r="P26" s="6"/>
      <c r="Q26" s="6"/>
      <c r="R26" s="6"/>
    </row>
    <row r="27" spans="1:20" ht="12" customHeight="1" thickBot="1" x14ac:dyDescent="0.4">
      <c r="C27" s="8">
        <f>SUM(C23:C26)</f>
        <v>42</v>
      </c>
      <c r="F27" s="8">
        <v>42</v>
      </c>
      <c r="O27" s="1" t="s">
        <v>2</v>
      </c>
      <c r="P27" s="1" t="s">
        <v>61</v>
      </c>
      <c r="R27" s="1">
        <v>30</v>
      </c>
      <c r="T27" s="7"/>
    </row>
    <row r="28" spans="1:20" ht="12" customHeight="1" thickTop="1" x14ac:dyDescent="0.35">
      <c r="O28" s="1" t="s">
        <v>2</v>
      </c>
      <c r="P28" s="1" t="s">
        <v>62</v>
      </c>
      <c r="R28" s="1">
        <v>5</v>
      </c>
      <c r="T28" s="7"/>
    </row>
    <row r="29" spans="1:20" ht="12" customHeight="1" x14ac:dyDescent="0.35">
      <c r="A29" s="19" t="s">
        <v>17</v>
      </c>
      <c r="B29" s="19"/>
      <c r="C29" s="19"/>
      <c r="D29" s="19"/>
      <c r="E29" s="19"/>
      <c r="F29" s="19"/>
      <c r="O29" s="1" t="s">
        <v>2</v>
      </c>
      <c r="P29" s="1" t="s">
        <v>63</v>
      </c>
      <c r="R29" s="1">
        <v>2</v>
      </c>
      <c r="T29" s="7"/>
    </row>
    <row r="30" spans="1:20" ht="12" customHeight="1" x14ac:dyDescent="0.35">
      <c r="A30" s="1" t="s">
        <v>3</v>
      </c>
      <c r="B30" s="1" t="s">
        <v>5</v>
      </c>
      <c r="C30" s="9">
        <v>90</v>
      </c>
      <c r="D30" s="1">
        <v>3</v>
      </c>
      <c r="E30" s="1" t="s">
        <v>45</v>
      </c>
      <c r="F30" s="7">
        <v>30</v>
      </c>
      <c r="T30" s="7"/>
    </row>
    <row r="31" spans="1:20" ht="12" customHeight="1" x14ac:dyDescent="0.35">
      <c r="A31" s="1">
        <v>1</v>
      </c>
      <c r="B31" s="1" t="s">
        <v>41</v>
      </c>
      <c r="C31" s="10">
        <v>15</v>
      </c>
      <c r="D31" s="1" t="s">
        <v>2</v>
      </c>
      <c r="E31" s="1" t="s">
        <v>72</v>
      </c>
      <c r="F31" s="7">
        <f>F33-F30</f>
        <v>79</v>
      </c>
      <c r="H31" s="6" t="s">
        <v>6</v>
      </c>
      <c r="I31" s="6"/>
      <c r="O31" s="6" t="s">
        <v>8</v>
      </c>
      <c r="P31" s="6"/>
      <c r="Q31" s="6"/>
      <c r="R31" s="6"/>
      <c r="S31" s="6"/>
      <c r="T31" s="7"/>
    </row>
    <row r="32" spans="1:20" ht="12" customHeight="1" x14ac:dyDescent="0.35">
      <c r="A32" s="1">
        <v>8</v>
      </c>
      <c r="B32" s="1" t="s">
        <v>53</v>
      </c>
      <c r="C32" s="16">
        <v>4</v>
      </c>
      <c r="F32" s="11"/>
      <c r="H32" s="1" t="s">
        <v>22</v>
      </c>
      <c r="I32" s="1" t="s">
        <v>40</v>
      </c>
      <c r="M32" s="17"/>
      <c r="O32" s="1" t="s">
        <v>2</v>
      </c>
      <c r="P32" s="1" t="s">
        <v>64</v>
      </c>
      <c r="R32" s="1">
        <v>30</v>
      </c>
      <c r="T32" s="7"/>
    </row>
    <row r="33" spans="1:20" ht="12" customHeight="1" thickBot="1" x14ac:dyDescent="0.4">
      <c r="C33" s="14">
        <f>SUM(C30:C32)</f>
        <v>109</v>
      </c>
      <c r="F33" s="14">
        <v>109</v>
      </c>
      <c r="H33" s="1" t="s">
        <v>23</v>
      </c>
      <c r="I33" s="1" t="s">
        <v>42</v>
      </c>
      <c r="M33" s="17"/>
      <c r="O33" s="1" t="s">
        <v>2</v>
      </c>
      <c r="P33" s="1" t="s">
        <v>70</v>
      </c>
      <c r="R33" s="1">
        <v>3</v>
      </c>
      <c r="T33" s="7"/>
    </row>
    <row r="34" spans="1:20" ht="12" customHeight="1" thickTop="1" x14ac:dyDescent="0.35">
      <c r="H34" s="1" t="s">
        <v>24</v>
      </c>
      <c r="I34" s="1" t="s">
        <v>44</v>
      </c>
      <c r="M34" s="17"/>
      <c r="O34" s="1" t="s">
        <v>2</v>
      </c>
      <c r="P34" s="1" t="s">
        <v>65</v>
      </c>
      <c r="R34" s="1">
        <v>8</v>
      </c>
      <c r="T34" s="7"/>
    </row>
    <row r="35" spans="1:20" ht="12" customHeight="1" x14ac:dyDescent="0.35">
      <c r="A35" s="19" t="s">
        <v>18</v>
      </c>
      <c r="B35" s="19"/>
      <c r="C35" s="19"/>
      <c r="D35" s="19"/>
      <c r="E35" s="19"/>
      <c r="F35" s="19"/>
      <c r="H35" s="1" t="s">
        <v>25</v>
      </c>
      <c r="I35" s="1" t="s">
        <v>46</v>
      </c>
      <c r="M35" s="17"/>
      <c r="O35" s="1" t="s">
        <v>2</v>
      </c>
      <c r="P35" s="1" t="s">
        <v>66</v>
      </c>
      <c r="R35" s="1">
        <v>12</v>
      </c>
      <c r="T35" s="7"/>
    </row>
    <row r="36" spans="1:20" ht="12" customHeight="1" x14ac:dyDescent="0.35">
      <c r="A36" s="1" t="s">
        <v>3</v>
      </c>
      <c r="B36" s="1" t="s">
        <v>5</v>
      </c>
      <c r="C36" s="9">
        <v>70</v>
      </c>
      <c r="D36" s="1" t="s">
        <v>2</v>
      </c>
      <c r="E36" s="1" t="s">
        <v>56</v>
      </c>
      <c r="F36" s="7">
        <v>5</v>
      </c>
      <c r="H36" s="1" t="s">
        <v>28</v>
      </c>
      <c r="I36" s="1" t="s">
        <v>48</v>
      </c>
      <c r="M36" s="17"/>
      <c r="O36" s="1" t="s">
        <v>2</v>
      </c>
      <c r="P36" s="1" t="s">
        <v>67</v>
      </c>
      <c r="R36" s="1">
        <v>4</v>
      </c>
      <c r="T36" s="7"/>
    </row>
    <row r="37" spans="1:20" ht="12" customHeight="1" x14ac:dyDescent="0.35">
      <c r="A37" s="1">
        <v>9</v>
      </c>
      <c r="B37" s="1" t="s">
        <v>45</v>
      </c>
      <c r="C37" s="10">
        <v>12</v>
      </c>
      <c r="D37" s="1" t="s">
        <v>2</v>
      </c>
      <c r="E37" s="1" t="s">
        <v>72</v>
      </c>
      <c r="F37" s="11">
        <f>F38-F36</f>
        <v>77</v>
      </c>
      <c r="H37" s="1" t="s">
        <v>29</v>
      </c>
      <c r="I37" s="1" t="s">
        <v>73</v>
      </c>
      <c r="M37" s="17"/>
      <c r="O37" s="1" t="s">
        <v>2</v>
      </c>
      <c r="P37" s="1" t="s">
        <v>68</v>
      </c>
      <c r="R37" s="1">
        <v>6</v>
      </c>
      <c r="T37" s="7"/>
    </row>
    <row r="38" spans="1:20" ht="12" customHeight="1" thickBot="1" x14ac:dyDescent="0.4">
      <c r="C38" s="8">
        <f>C36+C37</f>
        <v>82</v>
      </c>
      <c r="F38" s="8">
        <v>82</v>
      </c>
      <c r="H38" s="1" t="s">
        <v>31</v>
      </c>
      <c r="I38" s="1" t="s">
        <v>50</v>
      </c>
      <c r="M38" s="17"/>
      <c r="O38" s="1" t="s">
        <v>2</v>
      </c>
      <c r="P38" s="1" t="s">
        <v>69</v>
      </c>
      <c r="R38" s="1">
        <v>5</v>
      </c>
      <c r="T38" s="7"/>
    </row>
    <row r="39" spans="1:20" ht="12" customHeight="1" thickTop="1" x14ac:dyDescent="0.35">
      <c r="H39" s="5" t="s">
        <v>32</v>
      </c>
      <c r="I39" s="1" t="s">
        <v>52</v>
      </c>
      <c r="M39" s="17"/>
      <c r="O39" s="1" t="s">
        <v>2</v>
      </c>
      <c r="P39" s="1" t="s">
        <v>78</v>
      </c>
      <c r="R39" s="1">
        <v>20</v>
      </c>
      <c r="T39" s="7"/>
    </row>
    <row r="40" spans="1:20" ht="12" customHeight="1" x14ac:dyDescent="0.35">
      <c r="A40" s="19" t="s">
        <v>19</v>
      </c>
      <c r="B40" s="19"/>
      <c r="C40" s="19"/>
      <c r="D40" s="19"/>
      <c r="E40" s="19"/>
      <c r="F40" s="19"/>
      <c r="H40" s="1" t="s">
        <v>34</v>
      </c>
      <c r="I40" s="1" t="s">
        <v>54</v>
      </c>
      <c r="M40" s="17"/>
      <c r="T40" s="7"/>
    </row>
    <row r="41" spans="1:20" ht="12" customHeight="1" x14ac:dyDescent="0.35">
      <c r="A41" s="1" t="s">
        <v>3</v>
      </c>
      <c r="B41" s="1" t="s">
        <v>5</v>
      </c>
      <c r="C41" s="9">
        <v>50</v>
      </c>
      <c r="D41" s="1">
        <v>1</v>
      </c>
      <c r="E41" s="1" t="s">
        <v>11</v>
      </c>
      <c r="F41" s="7">
        <v>15</v>
      </c>
      <c r="O41" s="1" t="s">
        <v>2</v>
      </c>
      <c r="P41" s="1" t="s">
        <v>71</v>
      </c>
      <c r="R41" s="1">
        <v>120</v>
      </c>
      <c r="T41" s="7"/>
    </row>
    <row r="42" spans="1:20" ht="12" customHeight="1" x14ac:dyDescent="0.35">
      <c r="C42" s="16"/>
      <c r="D42" s="1" t="s">
        <v>2</v>
      </c>
      <c r="E42" s="1" t="s">
        <v>72</v>
      </c>
      <c r="F42" s="11">
        <v>35</v>
      </c>
      <c r="O42" s="1" t="s">
        <v>2</v>
      </c>
      <c r="P42" s="1" t="s">
        <v>74</v>
      </c>
      <c r="R42" s="1">
        <v>33</v>
      </c>
      <c r="T42" s="7"/>
    </row>
    <row r="43" spans="1:20" ht="12" customHeight="1" thickBot="1" x14ac:dyDescent="0.4">
      <c r="C43" s="14">
        <v>50</v>
      </c>
      <c r="F43" s="14">
        <v>50</v>
      </c>
      <c r="O43" s="1" t="s">
        <v>2</v>
      </c>
      <c r="P43" s="1" t="s">
        <v>75</v>
      </c>
      <c r="R43" s="1">
        <v>79</v>
      </c>
      <c r="T43" s="7"/>
    </row>
    <row r="44" spans="1:20" ht="12" customHeight="1" thickTop="1" x14ac:dyDescent="0.35">
      <c r="O44" s="1" t="s">
        <v>2</v>
      </c>
      <c r="P44" s="1" t="s">
        <v>76</v>
      </c>
      <c r="R44" s="1">
        <v>77</v>
      </c>
      <c r="T44" s="7"/>
    </row>
    <row r="45" spans="1:20" ht="12" customHeight="1" x14ac:dyDescent="0.35">
      <c r="A45" s="19" t="s">
        <v>20</v>
      </c>
      <c r="B45" s="19"/>
      <c r="C45" s="19"/>
      <c r="D45" s="19"/>
      <c r="E45" s="19"/>
      <c r="F45" s="19"/>
      <c r="O45" s="1" t="s">
        <v>2</v>
      </c>
      <c r="P45" s="1" t="s">
        <v>77</v>
      </c>
      <c r="R45" s="1">
        <v>35</v>
      </c>
      <c r="T45" s="7"/>
    </row>
    <row r="46" spans="1:20" ht="12" customHeight="1" x14ac:dyDescent="0.35">
      <c r="A46" s="1" t="s">
        <v>2</v>
      </c>
      <c r="B46" s="1" t="s">
        <v>58</v>
      </c>
      <c r="C46" s="7">
        <v>20</v>
      </c>
      <c r="D46" s="1" t="s">
        <v>3</v>
      </c>
      <c r="E46" s="1" t="s">
        <v>5</v>
      </c>
      <c r="F46" s="7">
        <v>230</v>
      </c>
      <c r="O46" s="1" t="s">
        <v>2</v>
      </c>
      <c r="P46" s="1" t="s">
        <v>79</v>
      </c>
      <c r="R46" s="1">
        <v>212</v>
      </c>
    </row>
    <row r="47" spans="1:20" ht="12" customHeight="1" x14ac:dyDescent="0.35">
      <c r="A47" s="1" t="s">
        <v>2</v>
      </c>
      <c r="B47" s="1" t="s">
        <v>72</v>
      </c>
      <c r="C47" s="10">
        <f>C48-C46</f>
        <v>212</v>
      </c>
      <c r="D47" s="1" t="s">
        <v>2</v>
      </c>
      <c r="E47" s="1" t="s">
        <v>1</v>
      </c>
      <c r="F47" s="9">
        <v>2</v>
      </c>
      <c r="O47" s="1" t="s">
        <v>2</v>
      </c>
      <c r="P47" s="1" t="s">
        <v>80</v>
      </c>
      <c r="R47" s="1">
        <v>132</v>
      </c>
    </row>
    <row r="48" spans="1:20" ht="12" customHeight="1" thickBot="1" x14ac:dyDescent="0.4">
      <c r="C48" s="8">
        <v>232</v>
      </c>
      <c r="F48" s="8">
        <v>232</v>
      </c>
    </row>
    <row r="49" spans="1:6" ht="12" customHeight="1" thickTop="1" x14ac:dyDescent="0.35"/>
    <row r="50" spans="1:6" ht="12" customHeight="1" x14ac:dyDescent="0.35">
      <c r="A50" s="19" t="s">
        <v>21</v>
      </c>
      <c r="B50" s="19"/>
      <c r="C50" s="19"/>
      <c r="D50" s="19"/>
      <c r="E50" s="19"/>
      <c r="F50" s="19"/>
    </row>
    <row r="51" spans="1:6" ht="12" customHeight="1" x14ac:dyDescent="0.35">
      <c r="A51" s="1">
        <v>3</v>
      </c>
      <c r="B51" s="1" t="s">
        <v>11</v>
      </c>
      <c r="C51" s="9">
        <v>30</v>
      </c>
      <c r="D51" s="1" t="s">
        <v>3</v>
      </c>
      <c r="E51" s="1" t="s">
        <v>5</v>
      </c>
      <c r="F51" s="7">
        <v>150</v>
      </c>
    </row>
    <row r="52" spans="1:6" ht="12" customHeight="1" x14ac:dyDescent="0.35">
      <c r="A52" s="1" t="s">
        <v>2</v>
      </c>
      <c r="B52" s="1" t="s">
        <v>72</v>
      </c>
      <c r="C52" s="10">
        <f>C53-C51</f>
        <v>132</v>
      </c>
      <c r="D52" s="1">
        <v>9</v>
      </c>
      <c r="E52" s="1" t="s">
        <v>12</v>
      </c>
      <c r="F52" s="11">
        <v>12</v>
      </c>
    </row>
    <row r="53" spans="1:6" ht="12" customHeight="1" thickBot="1" x14ac:dyDescent="0.4">
      <c r="C53" s="8">
        <v>162</v>
      </c>
      <c r="F53" s="8">
        <f>F51+F52</f>
        <v>162</v>
      </c>
    </row>
    <row r="54" spans="1:6" ht="12" customHeight="1" thickTop="1" x14ac:dyDescent="0.35"/>
  </sheetData>
  <mergeCells count="15">
    <mergeCell ref="H2:M2"/>
    <mergeCell ref="H11:M11"/>
    <mergeCell ref="H17:M17"/>
    <mergeCell ref="H14:M14"/>
    <mergeCell ref="A17:F17"/>
    <mergeCell ref="A50:F50"/>
    <mergeCell ref="H23:M23"/>
    <mergeCell ref="H20:M20"/>
    <mergeCell ref="H5:M5"/>
    <mergeCell ref="A35:F35"/>
    <mergeCell ref="H8:M8"/>
    <mergeCell ref="A22:F22"/>
    <mergeCell ref="A29:F29"/>
    <mergeCell ref="A40:F40"/>
    <mergeCell ref="A45:F45"/>
  </mergeCells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07421875"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0742187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Danner Klemens - s2510307051</cp:lastModifiedBy>
  <cp:lastPrinted>2013-10-29T13:33:40Z</cp:lastPrinted>
  <dcterms:created xsi:type="dcterms:W3CDTF">2009-11-30T09:42:31Z</dcterms:created>
  <dcterms:modified xsi:type="dcterms:W3CDTF">2025-11-02T19:01:25Z</dcterms:modified>
</cp:coreProperties>
</file>
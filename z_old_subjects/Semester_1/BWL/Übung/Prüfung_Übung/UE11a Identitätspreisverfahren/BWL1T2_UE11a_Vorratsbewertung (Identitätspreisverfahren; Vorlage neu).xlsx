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tc={00C00072-00F7-4E0A-B99F-00A500CB0055}</author>
    <author>tc={0062005D-0062-413B-B67B-005000DF0098}</author>
  </authors>
  <commentList>
    <comment ref="C19" authorId="0" xr:uid="{00C00072-00F7-4E0A-B99F-00A500CB0055}">
      <text>
        <r>
          <rPr>
            <b/>
            <sz val="9"/>
            <rFont val="Tahoma"/>
          </rPr>
          <t xml:space="preserve">Hinterholzer Stefan:</t>
        </r>
        <r>
          <rPr>
            <sz val="9"/>
            <rFont val="Tahoma"/>
          </rPr>
          <t xml:space="preserve">
Im Zuge eines Einbruchs wurde 1 Stück gestohlen
</t>
        </r>
      </text>
    </comment>
    <comment ref="D22" authorId="1" xr:uid="{0062005D-0062-413B-B67B-005000DF0098}">
      <text>
        <r>
          <rPr>
            <b/>
            <sz val="9"/>
            <rFont val="Tahoma"/>
          </rPr>
          <t xml:space="preserve">Hinterholzer Stefan:</t>
        </r>
        <r>
          <rPr>
            <sz val="9"/>
            <rFont val="Tahoma"/>
          </rPr>
          <t xml:space="preserve">
Der Preis am Bilanzstichtag beträgt nur mehr € 340 (ist gegenüber dem Zukauf am 5.5. um € 10,- gesunken)
</t>
        </r>
      </text>
    </comment>
  </commentList>
</comments>
</file>

<file path=xl/sharedStrings.xml><?xml version="1.0" encoding="utf-8"?>
<sst xmlns="http://schemas.openxmlformats.org/spreadsheetml/2006/main" count="39" uniqueCount="39">
  <si>
    <t xml:space="preserve">BWL1T2_UE11a (Vorratsbewertung)</t>
  </si>
  <si>
    <t xml:space="preserve">Identitätspreisverfahren Ware X</t>
  </si>
  <si>
    <t>Datum</t>
  </si>
  <si>
    <t>Text</t>
  </si>
  <si>
    <t>Stück</t>
  </si>
  <si>
    <t>Preis</t>
  </si>
  <si>
    <t>Wert</t>
  </si>
  <si>
    <t>1.1.</t>
  </si>
  <si>
    <t>Anfangsbestand</t>
  </si>
  <si>
    <t>5.5.</t>
  </si>
  <si>
    <t>Zukauf</t>
  </si>
  <si>
    <t>Stand</t>
  </si>
  <si>
    <t xml:space="preserve">1.1. bis 31.12.</t>
  </si>
  <si>
    <t xml:space="preserve">Abfassungen (Verbrauch, Einsatz)</t>
  </si>
  <si>
    <t xml:space="preserve">vom Anfangsbestand</t>
  </si>
  <si>
    <t>Wareneinsatz</t>
  </si>
  <si>
    <t xml:space="preserve">vom Zukauf</t>
  </si>
  <si>
    <t>31.12.</t>
  </si>
  <si>
    <t>Soll-Endbestand</t>
  </si>
  <si>
    <t xml:space="preserve">31.12. Ist-Endbestand</t>
  </si>
  <si>
    <t xml:space="preserve">Ist-Endbestand zum Einstandspreis</t>
  </si>
  <si>
    <t>Schwund</t>
  </si>
  <si>
    <t xml:space="preserve">Abschreibung von Vorräten: € xxxx</t>
  </si>
  <si>
    <t>Abwertung</t>
  </si>
  <si>
    <t>Bilanzansatz</t>
  </si>
  <si>
    <t xml:space="preserve">Vom Anfangsbestand</t>
  </si>
  <si>
    <t xml:space="preserve">Wert der Vorräte in der Bilanz: € xxxx</t>
  </si>
  <si>
    <t xml:space="preserve">Ware X (KL. 1)</t>
  </si>
  <si>
    <t>EBK</t>
  </si>
  <si>
    <t>1.2.</t>
  </si>
  <si>
    <t xml:space="preserve">z.B. Bank</t>
  </si>
  <si>
    <t xml:space="preserve">Abschreibung von Vorräten</t>
  </si>
  <si>
    <t>SBK</t>
  </si>
  <si>
    <t xml:space="preserve">Wareneinsatz X (Kl. 5)</t>
  </si>
  <si>
    <t xml:space="preserve">Ware X</t>
  </si>
  <si>
    <t>GuV</t>
  </si>
  <si>
    <t xml:space="preserve">Abschreibung von Vorräten (KL. 7) "alles in einen Topf"</t>
  </si>
  <si>
    <t>Buchungssätze</t>
  </si>
  <si>
    <t>Werte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</si>
</sst>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-[$€-C07]\ * #,##0.00_-;\-[$€-C07]\ * #,##0.00_-;_-[$€-C07]\ * &quot;-&quot;??_-;_-@_-"/>
    <numFmt numFmtId="165" formatCode="_-* #,##0_-;\-* #,##0_-;_-* &quot;-&quot;_-;_-@_-"/>
    <numFmt numFmtId="166" formatCode="_-* #,##0_-;\-* #,##0_-;_-* &quot;-&quot;??_-;_-@_-"/>
  </numFmts>
  <fonts count="3">
    <font>
      <sz val="11.000000"/>
      <color theme="1"/>
      <name val="Calibri"/>
      <scheme val="minor"/>
    </font>
    <font>
      <sz val="11.000000"/>
      <name val="Calibri"/>
      <scheme val="minor"/>
    </font>
    <font>
      <b/>
      <sz val="11.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</patternFill>
    </fill>
    <fill>
      <patternFill patternType="solid">
        <fgColor rgb="FF0070C0"/>
      </patternFill>
    </fill>
    <fill>
      <patternFill patternType="solid">
        <fgColor theme="0" tint="-0.049989318521683403"/>
      </patternFill>
    </fill>
    <fill>
      <patternFill patternType="solid">
        <fgColor indexed="5"/>
      </patternFill>
    </fill>
    <fill>
      <patternFill patternType="solid">
        <fgColor theme="2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/>
    <xf fontId="2" fillId="2" borderId="0" numFmtId="0" xfId="0" applyFont="1" applyFill="1"/>
    <xf fontId="2" fillId="3" borderId="0" numFmtId="0" xfId="0" applyFont="1" applyFill="1" applyAlignment="1">
      <alignment horizontal="center"/>
    </xf>
    <xf fontId="1" fillId="4" borderId="0" numFmtId="0" xfId="0" applyFont="1" applyFill="1"/>
    <xf fontId="1" fillId="4" borderId="0" numFmtId="3" xfId="0" applyNumberFormat="1" applyFont="1" applyFill="1"/>
    <xf fontId="1" fillId="4" borderId="0" numFmtId="164" xfId="0" applyNumberFormat="1" applyFont="1" applyFill="1"/>
    <xf fontId="1" fillId="0" borderId="1" numFmtId="0" xfId="0" applyFont="1" applyBorder="1"/>
    <xf fontId="1" fillId="0" borderId="1" numFmtId="3" xfId="0" applyNumberFormat="1" applyFont="1" applyBorder="1"/>
    <xf fontId="1" fillId="0" borderId="1" numFmtId="164" xfId="0" applyNumberFormat="1" applyFont="1" applyBorder="1"/>
    <xf fontId="1" fillId="0" borderId="0" numFmtId="3" xfId="0" applyNumberFormat="1" applyFont="1"/>
    <xf fontId="1" fillId="0" borderId="0" numFmtId="164" xfId="0" applyNumberFormat="1" applyFont="1"/>
    <xf fontId="1" fillId="5" borderId="0" numFmtId="0" xfId="0" applyFont="1" applyFill="1" applyAlignment="1">
      <alignment horizontal="left" vertical="center"/>
    </xf>
    <xf fontId="1" fillId="0" borderId="0" numFmtId="0" xfId="0" applyFont="1" applyAlignment="1">
      <alignment horizontal="left"/>
    </xf>
    <xf fontId="1" fillId="0" borderId="0" numFmtId="0" xfId="0" applyFont="1" applyAlignment="1">
      <alignment wrapText="1"/>
    </xf>
    <xf fontId="1" fillId="6" borderId="0" numFmtId="0" xfId="0" applyFont="1" applyFill="1"/>
    <xf fontId="1" fillId="6" borderId="0" numFmtId="3" xfId="0" applyNumberFormat="1" applyFont="1" applyFill="1"/>
    <xf fontId="1" fillId="6" borderId="0" numFmtId="164" xfId="0" applyNumberFormat="1" applyFont="1" applyFill="1"/>
    <xf fontId="1" fillId="5" borderId="0" numFmtId="0" xfId="0" applyFont="1" applyFill="1" applyAlignment="1">
      <alignment horizontal="left" vertical="center" wrapText="1"/>
    </xf>
    <xf fontId="1" fillId="0" borderId="1" numFmtId="0" xfId="0" applyFont="1" applyBorder="1" applyAlignment="1">
      <alignment horizontal="center"/>
    </xf>
    <xf fontId="1" fillId="0" borderId="2" numFmtId="3" xfId="0" applyNumberFormat="1" applyFont="1" applyBorder="1"/>
    <xf fontId="1" fillId="0" borderId="0" numFmtId="164" xfId="0" applyNumberFormat="1" applyFont="1" quotePrefix="1"/>
    <xf fontId="1" fillId="0" borderId="0" numFmtId="165" xfId="0" applyNumberFormat="1" applyFont="1"/>
    <xf fontId="1" fillId="0" borderId="3" numFmtId="3" xfId="0" applyNumberFormat="1" applyFont="1" applyBorder="1"/>
    <xf fontId="1" fillId="0" borderId="4" numFmtId="0" xfId="0" applyFont="1" applyBorder="1"/>
    <xf fontId="1" fillId="0" borderId="1" numFmtId="165" xfId="0" applyNumberFormat="1" applyFont="1" applyBorder="1"/>
    <xf fontId="1" fillId="0" borderId="5" numFmtId="3" xfId="0" applyNumberFormat="1" applyFont="1" applyBorder="1"/>
    <xf fontId="1" fillId="0" borderId="6" numFmtId="16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1924050</xdr:colOff>
      <xdr:row>8</xdr:row>
      <xdr:rowOff>28575</xdr:rowOff>
    </xdr:from>
    <xdr:to>
      <xdr:col>5</xdr:col>
      <xdr:colOff>57150</xdr:colOff>
      <xdr:row>10</xdr:row>
      <xdr:rowOff>28575</xdr:rowOff>
    </xdr:to>
    <xdr:sp>
      <xdr:nvSpPr>
        <xdr:cNvPr id="2" name="Right Brace 1"/>
        <xdr:cNvSpPr/>
      </xdr:nvSpPr>
      <xdr:spPr bwMode="auto">
        <a:xfrm>
          <a:off x="6696075" y="1552575"/>
          <a:ext cx="133350" cy="381000"/>
        </a:xfrm>
        <a:prstGeom prst="rightBrace">
          <a:avLst>
            <a:gd name="adj1" fmla="val 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twoCellAnchor editAs="twoCell">
    <xdr:from>
      <xdr:col>4</xdr:col>
      <xdr:colOff>1914525</xdr:colOff>
      <xdr:row>17</xdr:row>
      <xdr:rowOff>0</xdr:rowOff>
    </xdr:from>
    <xdr:to>
      <xdr:col>5</xdr:col>
      <xdr:colOff>47625</xdr:colOff>
      <xdr:row>19</xdr:row>
      <xdr:rowOff>0</xdr:rowOff>
    </xdr:to>
    <xdr:sp>
      <xdr:nvSpPr>
        <xdr:cNvPr id="3" name="Right Brace 2"/>
        <xdr:cNvSpPr/>
      </xdr:nvSpPr>
      <xdr:spPr bwMode="auto">
        <a:xfrm>
          <a:off x="6686550" y="3267075"/>
          <a:ext cx="133350" cy="381000"/>
        </a:xfrm>
        <a:prstGeom prst="rightBrace">
          <a:avLst>
            <a:gd name="adj1" fmla="val 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twoCellAnchor editAs="twoCell">
    <xdr:from>
      <xdr:col>4</xdr:col>
      <xdr:colOff>1924050</xdr:colOff>
      <xdr:row>20</xdr:row>
      <xdr:rowOff>0</xdr:rowOff>
    </xdr:from>
    <xdr:to>
      <xdr:col>5</xdr:col>
      <xdr:colOff>57150</xdr:colOff>
      <xdr:row>22</xdr:row>
      <xdr:rowOff>0</xdr:rowOff>
    </xdr:to>
    <xdr:sp>
      <xdr:nvSpPr>
        <xdr:cNvPr id="4" name="Right Brace 3"/>
        <xdr:cNvSpPr/>
      </xdr:nvSpPr>
      <xdr:spPr bwMode="auto">
        <a:xfrm>
          <a:off x="6696075" y="3838575"/>
          <a:ext cx="133350" cy="381000"/>
        </a:xfrm>
        <a:prstGeom prst="rightBrace">
          <a:avLst>
            <a:gd name="adj1" fmla="val 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/>
        </a:p>
      </xdr:txBody>
    </xdr:sp>
    <xdr:clientData/>
  </xdr:twoCellAnchor>
  <xdr:oneCellAnchor>
    <xdr:from>
      <xdr:col>8</xdr:col>
      <xdr:colOff>579777</xdr:colOff>
      <xdr:row>7</xdr:row>
      <xdr:rowOff>232409</xdr:rowOff>
    </xdr:from>
    <xdr:ext cx="6267639" cy="3522344"/>
    <xdr:pic>
      <xdr:nvPicPr>
        <xdr:cNvPr id="145513710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0938743" y="1447376"/>
          <a:ext cx="6267639" cy="352234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B4A53C8F-AA44-CC61-2E4E-C6AEF6C3219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personId="{B4A53C8F-AA44-CC61-2E4E-C6AEF6C32199}" id="{00C00072-00F7-4E0A-B99F-00A500CB0055}" done="0">
    <text xml:space="preserve">Im Zuge eines Einbruchs wurde 1 Stück gestohlen
</text>
  </threadedComment>
  <threadedComment ref="D22" personId="{B4A53C8F-AA44-CC61-2E4E-C6AEF6C32199}" id="{0062005D-0062-413B-B67B-005000DF0098}" done="0">
    <text xml:space="preserve">Der Preis am Bilanzstichtag beträgt nur mehr € 340 (ist gegenüber dem Zukauf am 5.5. um € 10,- gesunken)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1" showRowColHeaders="1" showZeros="1" topLeftCell="A16" zoomScale="100" workbookViewId="0">
      <selection activeCell="B44" activeCellId="0" sqref="B44"/>
    </sheetView>
  </sheetViews>
  <sheetFormatPr defaultRowHeight="14.25"/>
  <cols>
    <col bestFit="1" customWidth="1" min="1" max="1" style="1" width="23.28515625"/>
    <col customWidth="1" min="2" max="2" style="1" width="26.42578125"/>
    <col customWidth="1" min="3" max="3" style="1" width="12"/>
    <col customWidth="1" min="4" max="4" style="1" width="10"/>
    <col bestFit="1" customWidth="1" min="5" max="5" style="1" width="30"/>
    <col customWidth="1" min="6" max="6" style="1" width="27.57421875"/>
    <col bestFit="1" min="7" max="7" style="1" width="11.00390625"/>
    <col min="8" max="16384" style="1" width="9.140625"/>
  </cols>
  <sheetData>
    <row r="1">
      <c r="A1" s="1" t="s">
        <v>0</v>
      </c>
    </row>
    <row r="2">
      <c r="A2" s="2" t="s">
        <v>1</v>
      </c>
      <c r="B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s">
        <v>7</v>
      </c>
      <c r="B5" s="4" t="s">
        <v>8</v>
      </c>
      <c r="C5" s="5">
        <v>6</v>
      </c>
      <c r="D5" s="6">
        <v>300</v>
      </c>
      <c r="E5" s="6">
        <f t="shared" ref="E5:E6" si="0">C5*D5</f>
        <v>1800</v>
      </c>
    </row>
    <row r="6">
      <c r="A6" s="7" t="s">
        <v>9</v>
      </c>
      <c r="B6" s="7" t="s">
        <v>10</v>
      </c>
      <c r="C6" s="8">
        <v>15</v>
      </c>
      <c r="D6" s="9">
        <v>350</v>
      </c>
      <c r="E6" s="9">
        <f t="shared" si="0"/>
        <v>5250</v>
      </c>
    </row>
    <row r="7">
      <c r="A7" s="1" t="s">
        <v>9</v>
      </c>
      <c r="B7" s="1" t="s">
        <v>11</v>
      </c>
      <c r="C7" s="10"/>
      <c r="D7" s="11"/>
      <c r="E7" s="11"/>
    </row>
    <row r="8" ht="24" customHeight="1">
      <c r="A8" s="7" t="s">
        <v>12</v>
      </c>
      <c r="B8" s="7" t="s">
        <v>13</v>
      </c>
      <c r="C8" s="8"/>
      <c r="D8" s="9"/>
      <c r="E8" s="9"/>
      <c r="F8" s="11"/>
    </row>
    <row r="9">
      <c r="B9" s="1" t="s">
        <v>14</v>
      </c>
      <c r="C9" s="10">
        <v>-5</v>
      </c>
      <c r="D9" s="11"/>
      <c r="E9" s="11">
        <f>5*300</f>
        <v>1500</v>
      </c>
      <c r="F9" s="12" t="s">
        <v>15</v>
      </c>
      <c r="G9" s="11">
        <f>E9+E10</f>
        <v>5000</v>
      </c>
    </row>
    <row r="10">
      <c r="A10" s="7"/>
      <c r="B10" s="7" t="s">
        <v>16</v>
      </c>
      <c r="C10" s="8">
        <v>-10</v>
      </c>
      <c r="D10" s="9"/>
      <c r="E10" s="9">
        <f>10*350</f>
        <v>3500</v>
      </c>
      <c r="F10" s="12"/>
    </row>
    <row r="11">
      <c r="A11" s="1" t="s">
        <v>17</v>
      </c>
      <c r="B11" s="1" t="s">
        <v>18</v>
      </c>
      <c r="C11" s="10">
        <f>SUM(C5:C10)</f>
        <v>6</v>
      </c>
      <c r="E11" s="11"/>
    </row>
    <row r="12">
      <c r="B12" s="1" t="s">
        <v>14</v>
      </c>
      <c r="C12" s="10">
        <v>1</v>
      </c>
      <c r="D12" s="11">
        <v>300</v>
      </c>
      <c r="E12" s="11">
        <v>300</v>
      </c>
      <c r="H12" s="13"/>
    </row>
    <row r="13">
      <c r="A13" s="7"/>
      <c r="B13" s="7" t="s">
        <v>16</v>
      </c>
      <c r="C13" s="8">
        <v>5</v>
      </c>
      <c r="D13" s="9">
        <v>350</v>
      </c>
      <c r="E13" s="9">
        <f>C13*D13</f>
        <v>1750</v>
      </c>
      <c r="F13" s="11"/>
    </row>
    <row r="14">
      <c r="A14" s="1" t="s">
        <v>19</v>
      </c>
      <c r="B14" s="1" t="s">
        <v>14</v>
      </c>
      <c r="C14" s="10">
        <v>1</v>
      </c>
      <c r="D14" s="11">
        <v>300</v>
      </c>
      <c r="E14" s="11">
        <v>300</v>
      </c>
    </row>
    <row r="15">
      <c r="B15" s="7" t="s">
        <v>16</v>
      </c>
      <c r="C15" s="8">
        <v>4</v>
      </c>
      <c r="D15" s="9">
        <v>350</v>
      </c>
      <c r="E15" s="9">
        <f>4*D15</f>
        <v>1400</v>
      </c>
    </row>
    <row r="16" ht="32.25" customHeight="1">
      <c r="A16" s="7" t="s">
        <v>17</v>
      </c>
      <c r="B16" s="14" t="s">
        <v>20</v>
      </c>
      <c r="C16" s="10">
        <v>5</v>
      </c>
      <c r="D16" s="11"/>
      <c r="E16" s="11">
        <v>1700</v>
      </c>
    </row>
    <row r="18">
      <c r="A18" s="1" t="s">
        <v>21</v>
      </c>
      <c r="C18" s="10">
        <v>1</v>
      </c>
      <c r="D18" s="11">
        <v>350</v>
      </c>
      <c r="E18" s="11">
        <v>350</v>
      </c>
      <c r="F18" s="12" t="s">
        <v>22</v>
      </c>
      <c r="G18" s="11">
        <f>E18+E19</f>
        <v>390</v>
      </c>
    </row>
    <row r="19">
      <c r="A19" s="1" t="s">
        <v>23</v>
      </c>
      <c r="C19" s="10">
        <v>4</v>
      </c>
      <c r="D19" s="11">
        <v>10</v>
      </c>
      <c r="E19" s="11">
        <v>40</v>
      </c>
      <c r="F19" s="12"/>
    </row>
    <row r="20">
      <c r="C20" s="10"/>
      <c r="D20" s="11"/>
      <c r="E20" s="11"/>
    </row>
    <row r="21">
      <c r="A21" s="1" t="s">
        <v>24</v>
      </c>
      <c r="B21" s="15" t="s">
        <v>25</v>
      </c>
      <c r="C21" s="16">
        <v>1</v>
      </c>
      <c r="D21" s="17">
        <v>300</v>
      </c>
      <c r="E21" s="17">
        <v>300</v>
      </c>
      <c r="F21" s="18" t="s">
        <v>26</v>
      </c>
    </row>
    <row r="22">
      <c r="B22" s="15" t="s">
        <v>16</v>
      </c>
      <c r="C22" s="16">
        <v>4</v>
      </c>
      <c r="D22" s="17">
        <v>340</v>
      </c>
      <c r="E22" s="17">
        <f>C22*D22</f>
        <v>1360</v>
      </c>
      <c r="F22" s="18"/>
      <c r="G22" s="11">
        <f>E21+E22</f>
        <v>1660</v>
      </c>
    </row>
    <row r="23">
      <c r="C23" s="10"/>
      <c r="D23" s="11"/>
      <c r="E23" s="11"/>
    </row>
    <row r="24">
      <c r="C24" s="10"/>
      <c r="D24" s="11"/>
      <c r="E24" s="11"/>
    </row>
    <row r="25">
      <c r="A25" s="19" t="s">
        <v>27</v>
      </c>
      <c r="B25" s="19"/>
      <c r="C25" s="19"/>
      <c r="D25" s="19"/>
      <c r="E25" s="19"/>
      <c r="F25" s="19"/>
    </row>
    <row r="26">
      <c r="A26" s="1" t="s">
        <v>7</v>
      </c>
      <c r="B26" s="1" t="s">
        <v>28</v>
      </c>
      <c r="C26" s="20">
        <f t="shared" ref="C26:C27" si="1">E5</f>
        <v>1800</v>
      </c>
      <c r="D26" s="11" t="s">
        <v>29</v>
      </c>
      <c r="E26" s="21" t="s">
        <v>15</v>
      </c>
      <c r="F26" s="22">
        <v>5000</v>
      </c>
    </row>
    <row r="27">
      <c r="A27" s="1" t="s">
        <v>9</v>
      </c>
      <c r="B27" s="1" t="s">
        <v>30</v>
      </c>
      <c r="C27" s="23">
        <f t="shared" si="1"/>
        <v>5250</v>
      </c>
      <c r="D27" s="11" t="s">
        <v>17</v>
      </c>
      <c r="E27" s="11" t="s">
        <v>31</v>
      </c>
      <c r="F27" s="22">
        <v>390</v>
      </c>
    </row>
    <row r="28">
      <c r="C28" s="24"/>
      <c r="D28" s="11" t="s">
        <v>17</v>
      </c>
      <c r="E28" s="21" t="s">
        <v>32</v>
      </c>
      <c r="F28" s="25">
        <f>C29-SUM(F26:F27)</f>
        <v>1660</v>
      </c>
    </row>
    <row r="29" ht="15.75">
      <c r="C29" s="26">
        <f>SUM(C26:C28)</f>
        <v>7050</v>
      </c>
      <c r="D29" s="11"/>
      <c r="E29" s="11"/>
      <c r="F29" s="27">
        <f>SUM(F26:F28)</f>
        <v>7050</v>
      </c>
    </row>
    <row r="30" ht="15.75"/>
    <row r="31">
      <c r="A31" s="19" t="s">
        <v>33</v>
      </c>
      <c r="B31" s="19"/>
      <c r="C31" s="19"/>
      <c r="D31" s="19"/>
      <c r="E31" s="19"/>
      <c r="F31" s="19"/>
    </row>
    <row r="32" ht="15.75">
      <c r="A32" s="1" t="s">
        <v>29</v>
      </c>
      <c r="B32" s="1" t="s">
        <v>34</v>
      </c>
      <c r="C32" s="26">
        <v>5000</v>
      </c>
      <c r="D32" s="11" t="s">
        <v>17</v>
      </c>
      <c r="E32" s="11" t="s">
        <v>35</v>
      </c>
      <c r="F32" s="27">
        <v>5000</v>
      </c>
    </row>
    <row r="33" ht="15.75"/>
    <row r="34">
      <c r="A34" s="19" t="s">
        <v>36</v>
      </c>
      <c r="B34" s="19"/>
      <c r="C34" s="19"/>
      <c r="D34" s="19"/>
      <c r="E34" s="19"/>
      <c r="F34" s="19"/>
    </row>
    <row r="35" ht="15.75">
      <c r="A35" s="1" t="s">
        <v>17</v>
      </c>
      <c r="B35" s="1" t="s">
        <v>34</v>
      </c>
      <c r="C35" s="26">
        <v>390</v>
      </c>
      <c r="D35" s="11" t="s">
        <v>17</v>
      </c>
      <c r="E35" s="11" t="s">
        <v>35</v>
      </c>
      <c r="F35" s="27">
        <v>390</v>
      </c>
    </row>
    <row r="36" ht="15.75"/>
    <row r="39">
      <c r="A39" s="1" t="s">
        <v>37</v>
      </c>
      <c r="C39" s="1" t="s">
        <v>38</v>
      </c>
    </row>
    <row r="40">
      <c r="C40" s="11"/>
    </row>
    <row r="41">
      <c r="C41" s="11"/>
    </row>
    <row r="42">
      <c r="C42" s="11"/>
    </row>
  </sheetData>
  <mergeCells count="6">
    <mergeCell ref="F9:F10"/>
    <mergeCell ref="F18:F19"/>
    <mergeCell ref="F21:F22"/>
    <mergeCell ref="A25:F25"/>
    <mergeCell ref="A31:F31"/>
    <mergeCell ref="A34:F34"/>
  </mergeCells>
  <printOptions headings="0" gridLines="1"/>
  <pageMargins left="0.70866141732283472" right="0.70866141732283472" top="0.74803149606299213" bottom="0.74803149606299213" header="0.31496062992125984" footer="0.31496062992125984"/>
  <pageSetup paperSize="9" scale="81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2018-12-17T09:19:06Z</dcterms:created>
  <dcterms:modified xsi:type="dcterms:W3CDTF">2026-01-18T11:02:17Z</dcterms:modified>
</cp:coreProperties>
</file>
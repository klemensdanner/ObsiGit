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eine Ablage\Obsidian Vault\BWL\Übung\Aufträge\UE04d\"/>
    </mc:Choice>
  </mc:AlternateContent>
  <xr:revisionPtr revIDLastSave="0" documentId="13_ncr:1_{2F2F3DE8-1DC5-4F57-A445-817FB7C512A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 a="1"/>
  <c r="E40" i="1" s="1"/>
  <c r="F20" i="1"/>
  <c r="C20" i="1"/>
  <c r="F10" i="1"/>
  <c r="C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tc={7AF25B97-3EF0-42C5-8F5C-109C5EEDBAD7}</author>
  </authors>
  <commentList>
    <comment ref="C16" authorId="0" shapeId="0" xr:uid="{7AF25B97-3EF0-42C5-8F5C-109C5EEDBAD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Dieses Konto ist nur ein Hilfskonstrukt zum "seitenrichtigen" eröffnen der Bestandskonten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<sst xmlns="http://schemas.openxmlformats.org/spreadsheetml/2006/main" count="114" uniqueCount="90">
  <si>
    <t>Aktiva</t>
  </si>
  <si>
    <t>Passiva</t>
  </si>
  <si>
    <t>Eröffnungsbilanz Maronibrater</t>
  </si>
  <si>
    <t>Teil 3: Abschluß und Gewinnermittlung (auf 2 Arten !!!)</t>
  </si>
  <si>
    <t>Gewinn- und Verlustrechnung</t>
  </si>
  <si>
    <t>Maroni</t>
  </si>
  <si>
    <t>Eigenkapital</t>
  </si>
  <si>
    <t>Zu diesem Geschäftsfall lautet der Buchungssatz folgendermaßen:</t>
  </si>
  <si>
    <t>BS:</t>
  </si>
  <si>
    <t>Holzkohle</t>
  </si>
  <si>
    <t>Holzkohle stellt Umlaufvermögen dar. Ein Kauf erhöht das Umlaufvermögen Holzkohle</t>
  </si>
  <si>
    <t>und ein anderer Posten im Umlaufvermögen, nämlich Bargeld wird weniger.</t>
  </si>
  <si>
    <t>Buchungssatz allgemein:</t>
  </si>
  <si>
    <t>Mittelverwendung (im Soll)</t>
  </si>
  <si>
    <t>Mittelherkunft (im Haben)</t>
  </si>
  <si>
    <t>(wird mehr)</t>
  </si>
  <si>
    <t>(wird weniger)</t>
  </si>
  <si>
    <t>Schreibweise:</t>
  </si>
  <si>
    <t>Konto</t>
  </si>
  <si>
    <t>/</t>
  </si>
  <si>
    <t>(/="an")</t>
  </si>
  <si>
    <t>Kassa</t>
  </si>
  <si>
    <t>Betrag</t>
  </si>
  <si>
    <t>wird mehr</t>
  </si>
  <si>
    <t>wird weniger</t>
  </si>
  <si>
    <t>In Kontenform</t>
  </si>
  <si>
    <t>Das Konto Holzkohle ist neu</t>
  </si>
  <si>
    <t>zu erstellen. Kein Eröffnung-</t>
  </si>
  <si>
    <t>bestand.</t>
  </si>
  <si>
    <t>Wie wirkt sich dieser Buchungsfall auf die Konten Kassa und Privat aus ?</t>
  </si>
  <si>
    <t>Privatentnahme ! Ein Konto "Privat" (Bestandskonto) ist einzurichten. Kassabestand wird weniger.</t>
  </si>
  <si>
    <t>Soll</t>
  </si>
  <si>
    <t>Haben</t>
  </si>
  <si>
    <t>Privat</t>
  </si>
  <si>
    <t>Hier lautet die Buchung:</t>
  </si>
  <si>
    <t>Tragen Sie die Buchung in das oben angeführte Kassa-Konto, sowie</t>
  </si>
  <si>
    <t>in das folgende Konto "Schulden" ein.</t>
  </si>
  <si>
    <t>Konten eröffnet werden können, die Bilanz "umgedreht" als EBK d.h. Eröffnungs-</t>
  </si>
  <si>
    <t>bilanzkonto dargestellt werden:</t>
  </si>
  <si>
    <t>EröffnungsbilanzKONTO (EBK)</t>
  </si>
  <si>
    <r>
      <t>Maroni</t>
    </r>
    <r>
      <rPr>
        <u/>
        <sz val="10"/>
        <rFont val="Arial"/>
        <family val="2"/>
      </rPr>
      <t>verbrauch</t>
    </r>
  </si>
  <si>
    <t>Erfolgskonto</t>
  </si>
  <si>
    <t>jedoch über die regulären Konten und schließen Sie diese ins SBK ab !</t>
  </si>
  <si>
    <t>Tragen Sie diese Buchung einerseits in das oben angeführte Kassa-Konto</t>
  </si>
  <si>
    <t>und in das folgende Erlöskonto ein:</t>
  </si>
  <si>
    <t>Für den Abschluss benötigen wir noch folgende Konten</t>
  </si>
  <si>
    <t>INVENTUR</t>
  </si>
  <si>
    <t>Schlussbilanz (SBK)</t>
  </si>
  <si>
    <t xml:space="preserve">Aus FIBU-technischen Gründen muss, damit aus einer Bilanz heraus, die entspr. </t>
  </si>
  <si>
    <t>a) Auf dem Weg zu seinem Standplatz kauft er 3 Säcke Holzkohle um insgesamt € 15</t>
  </si>
  <si>
    <t>b) Mittags nimmt er € 10,- aus der Kasse und geht essen</t>
  </si>
  <si>
    <r>
      <t>Holzkohle</t>
    </r>
    <r>
      <rPr>
        <u/>
        <sz val="10"/>
        <rFont val="Arial"/>
        <family val="2"/>
      </rPr>
      <t>verbrauch</t>
    </r>
  </si>
  <si>
    <t>Die Buchung lautet:</t>
  </si>
  <si>
    <t>Tragen Sie die Endbestände ein, dieses Mal</t>
  </si>
  <si>
    <t>Abends befinden sich in seiner Kasse € 100,-</t>
  </si>
  <si>
    <r>
      <t xml:space="preserve">Laut seinen Aufzeichnungen hat er Maroni um insgesamt € 115,- </t>
    </r>
    <r>
      <rPr>
        <b/>
        <sz val="10"/>
        <rFont val="Arial"/>
        <family val="2"/>
      </rPr>
      <t>verkauft</t>
    </r>
  </si>
  <si>
    <t xml:space="preserve">Ferner hat er noch 3 kg rohe Maroni (1kg zu € 4,- d.s. € 12,-) </t>
  </si>
  <si>
    <t>und einen Sack Holzkohle</t>
  </si>
  <si>
    <t>c) Dabei trifft er seinen Freund (er hatte ihm die € 200 geborgt) und gibt ihm € 40,- zurück</t>
  </si>
  <si>
    <t>Geschäftsfälle</t>
  </si>
  <si>
    <t>Übung 04d : Der Maronibrater</t>
  </si>
  <si>
    <r>
      <t>Buchung</t>
    </r>
    <r>
      <rPr>
        <sz val="10"/>
        <rFont val="Arial"/>
        <family val="2"/>
      </rPr>
      <t xml:space="preserve"> lautet daher</t>
    </r>
  </si>
  <si>
    <t>Schulden (=Fremdkapital)</t>
  </si>
  <si>
    <t>Ofen (=Anlagevermögen)</t>
  </si>
  <si>
    <t>Umsatzerlöse</t>
  </si>
  <si>
    <t>1.1. EBK</t>
  </si>
  <si>
    <t>1.1. Ofen</t>
  </si>
  <si>
    <t>1.1. Maroni</t>
  </si>
  <si>
    <t>1.1. Kassa (Wechselgeld)</t>
  </si>
  <si>
    <t>1.1. Eigenkapital</t>
  </si>
  <si>
    <t>1.1. Schulden</t>
  </si>
  <si>
    <t>1.1. Kassa</t>
  </si>
  <si>
    <t>BWL1T2</t>
  </si>
  <si>
    <t>Grundlagen der Finanzbuchhaltung</t>
  </si>
  <si>
    <t>a) Kassa</t>
  </si>
  <si>
    <t>a) Holzkohle</t>
  </si>
  <si>
    <t>Holzkohle / Kassa --&gt; Aktivtausch</t>
  </si>
  <si>
    <t>Privat / Kassa</t>
  </si>
  <si>
    <t>b) Kassa</t>
  </si>
  <si>
    <t>b) Privat</t>
  </si>
  <si>
    <t>Schulden / Kassa</t>
  </si>
  <si>
    <t>c) Kassa</t>
  </si>
  <si>
    <t>&gt; Bilanzverkürzung</t>
  </si>
  <si>
    <t xml:space="preserve">Kassa / Umsatzerlöse </t>
  </si>
  <si>
    <t>d) Umsatzerlöse</t>
  </si>
  <si>
    <t>d) Kassa</t>
  </si>
  <si>
    <t>31.12. Maroni</t>
  </si>
  <si>
    <t>Inventur</t>
  </si>
  <si>
    <t>31.12. SBK</t>
  </si>
  <si>
    <t>31.12. Holzk. verbraucht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</si>
</sst>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  <font>
      <b/>
      <i/>
      <sz val="8"/>
      <name val="Arial"/>
      <family val="2"/>
    </font>
    <font>
      <b/>
      <sz val="11"/>
      <name val="Helvetica"/>
    </font>
    <font>
      <b/>
      <sz val="12"/>
      <name val="Helvetica"/>
    </font>
    <font>
      <b/>
      <sz val="10"/>
      <name val="Helvetica"/>
      <family val="2"/>
    </font>
    <font>
      <i/>
      <sz val="10"/>
      <color theme="0" tint="-0.34998626667073579"/>
      <name val="Arial"/>
      <family val="2"/>
    </font>
    <font>
      <b/>
      <i/>
      <sz val="10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1" fillId="0" borderId="0" xfId="0" quotePrefix="1" applyFont="1"/>
    <xf numFmtId="0" fontId="4" fillId="0" borderId="0" xfId="0" applyFont="1"/>
    <xf numFmtId="0" fontId="5" fillId="0" borderId="0" xfId="0" applyFont="1"/>
    <xf numFmtId="0" fontId="1" fillId="0" borderId="7" xfId="0" applyFont="1" applyBorder="1"/>
    <xf numFmtId="0" fontId="6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7" fillId="0" borderId="2" xfId="0" applyFont="1" applyBorder="1"/>
    <xf numFmtId="0" fontId="8" fillId="0" borderId="0" xfId="0" applyFont="1"/>
    <xf numFmtId="0" fontId="1" fillId="2" borderId="0" xfId="0" applyFont="1" applyFill="1"/>
    <xf numFmtId="0" fontId="9" fillId="0" borderId="0" xfId="0" applyFont="1" applyAlignment="1">
      <alignment horizontal="center"/>
    </xf>
    <xf numFmtId="0" fontId="10" fillId="2" borderId="0" xfId="0" applyFont="1" applyFill="1"/>
    <xf numFmtId="0" fontId="3" fillId="2" borderId="0" xfId="0" applyFont="1" applyFill="1"/>
    <xf numFmtId="0" fontId="3" fillId="0" borderId="2" xfId="0" applyFont="1" applyBorder="1"/>
    <xf numFmtId="3" fontId="3" fillId="0" borderId="3" xfId="0" applyNumberFormat="1" applyFont="1" applyBorder="1"/>
    <xf numFmtId="3" fontId="3" fillId="0" borderId="0" xfId="0" applyNumberFormat="1" applyFont="1"/>
    <xf numFmtId="0" fontId="3" fillId="0" borderId="4" xfId="0" applyFont="1" applyBorder="1"/>
    <xf numFmtId="0" fontId="3" fillId="0" borderId="1" xfId="0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3" fillId="0" borderId="0" xfId="0" quotePrefix="1" applyFont="1" applyAlignment="1">
      <alignment horizontal="center"/>
    </xf>
    <xf numFmtId="0" fontId="3" fillId="0" borderId="2" xfId="0" applyFont="1" applyBorder="1" applyAlignment="1">
      <alignment horizontal="right"/>
    </xf>
    <xf numFmtId="0" fontId="1" fillId="3" borderId="0" xfId="0" applyFont="1" applyFill="1"/>
    <xf numFmtId="0" fontId="1" fillId="4" borderId="0" xfId="0" applyFont="1" applyFill="1"/>
    <xf numFmtId="0" fontId="3" fillId="4" borderId="3" xfId="0" applyFont="1" applyFill="1" applyBorder="1"/>
    <xf numFmtId="0" fontId="3" fillId="4" borderId="0" xfId="0" applyFont="1" applyFill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1" fillId="0" borderId="2" xfId="0" applyFont="1" applyBorder="1"/>
    <xf numFmtId="3" fontId="11" fillId="0" borderId="2" xfId="0" applyNumberFormat="1" applyFont="1" applyBorder="1"/>
    <xf numFmtId="0" fontId="12" fillId="0" borderId="2" xfId="0" applyFont="1" applyBorder="1"/>
    <xf numFmtId="0" fontId="11" fillId="0" borderId="0" xfId="0" applyFont="1"/>
    <xf numFmtId="3" fontId="11" fillId="0" borderId="3" xfId="0" applyNumberFormat="1" applyFont="1" applyBorder="1"/>
    <xf numFmtId="3" fontId="11" fillId="0" borderId="4" xfId="0" applyNumberFormat="1" applyFont="1" applyBorder="1"/>
    <xf numFmtId="0" fontId="11" fillId="0" borderId="4" xfId="0" applyFont="1" applyBorder="1"/>
    <xf numFmtId="0" fontId="11" fillId="0" borderId="1" xfId="0" applyFont="1" applyBorder="1"/>
    <xf numFmtId="0" fontId="13" fillId="0" borderId="0" xfId="0" applyFont="1"/>
    <xf numFmtId="3" fontId="11" fillId="0" borderId="6" xfId="0" applyNumberFormat="1" applyFont="1" applyBorder="1"/>
    <xf numFmtId="0" fontId="12" fillId="0" borderId="0" xfId="0" applyFont="1"/>
    <xf numFmtId="3" fontId="3" fillId="4" borderId="4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3" fontId="1" fillId="4" borderId="2" xfId="0" applyNumberFormat="1" applyFont="1" applyFill="1" applyBorder="1" applyAlignment="1">
      <alignment horizontal="right"/>
    </xf>
    <xf numFmtId="3" fontId="3" fillId="4" borderId="6" xfId="0" applyNumberFormat="1" applyFont="1" applyFill="1" applyBorder="1"/>
    <xf numFmtId="3" fontId="3" fillId="4" borderId="0" xfId="0" applyNumberFormat="1" applyFont="1" applyFill="1"/>
    <xf numFmtId="3" fontId="1" fillId="4" borderId="6" xfId="0" applyNumberFormat="1" applyFont="1" applyFill="1" applyBorder="1"/>
    <xf numFmtId="0" fontId="1" fillId="4" borderId="6" xfId="0" applyFont="1" applyFill="1" applyBorder="1"/>
    <xf numFmtId="3" fontId="3" fillId="4" borderId="1" xfId="0" applyNumberFormat="1" applyFont="1" applyFill="1" applyBorder="1"/>
    <xf numFmtId="0" fontId="1" fillId="4" borderId="2" xfId="0" applyFont="1" applyFill="1" applyBorder="1"/>
    <xf numFmtId="3" fontId="3" fillId="4" borderId="5" xfId="0" applyNumberFormat="1" applyFont="1" applyFill="1" applyBorder="1"/>
    <xf numFmtId="0" fontId="3" fillId="4" borderId="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6" xfId="0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0" fontId="14" fillId="3" borderId="0" xfId="0" applyFont="1" applyFill="1"/>
    <xf numFmtId="0" fontId="15" fillId="3" borderId="0" xfId="0" applyFont="1" applyFill="1"/>
    <xf numFmtId="3" fontId="3" fillId="4" borderId="3" xfId="0" applyNumberFormat="1" applyFont="1" applyFill="1" applyBorder="1"/>
    <xf numFmtId="0" fontId="3" fillId="4" borderId="4" xfId="0" applyFont="1" applyFill="1" applyBorder="1"/>
    <xf numFmtId="0" fontId="1" fillId="4" borderId="7" xfId="0" applyFont="1" applyFill="1" applyBorder="1"/>
    <xf numFmtId="0" fontId="5" fillId="4" borderId="2" xfId="0" applyFont="1" applyFill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9</xdr:row>
      <xdr:rowOff>180975</xdr:rowOff>
    </xdr:from>
    <xdr:to>
      <xdr:col>4</xdr:col>
      <xdr:colOff>9525</xdr:colOff>
      <xdr:row>14</xdr:row>
      <xdr:rowOff>266700</xdr:rowOff>
    </xdr:to>
    <xdr:sp macro="" textlink="">
      <xdr:nvSpPr>
        <xdr:cNvPr id="1059" name="Line 12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ShapeType="1"/>
        </xdr:cNvSpPr>
      </xdr:nvSpPr>
      <xdr:spPr bwMode="auto">
        <a:xfrm>
          <a:off x="1104900" y="2562225"/>
          <a:ext cx="1952625" cy="10287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666750</xdr:colOff>
      <xdr:row>9</xdr:row>
      <xdr:rowOff>114300</xdr:rowOff>
    </xdr:from>
    <xdr:to>
      <xdr:col>3</xdr:col>
      <xdr:colOff>638175</xdr:colOff>
      <xdr:row>15</xdr:row>
      <xdr:rowOff>76200</xdr:rowOff>
    </xdr:to>
    <xdr:sp macro="" textlink="">
      <xdr:nvSpPr>
        <xdr:cNvPr id="1062" name="Line 1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ShapeType="1"/>
        </xdr:cNvSpPr>
      </xdr:nvSpPr>
      <xdr:spPr bwMode="auto">
        <a:xfrm flipH="1">
          <a:off x="1428750" y="2505075"/>
          <a:ext cx="1495425" cy="117157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161925</xdr:colOff>
      <xdr:row>0</xdr:row>
      <xdr:rowOff>152400</xdr:rowOff>
    </xdr:from>
    <xdr:to>
      <xdr:col>5</xdr:col>
      <xdr:colOff>561975</xdr:colOff>
      <xdr:row>4</xdr:row>
      <xdr:rowOff>161925</xdr:rowOff>
    </xdr:to>
    <xdr:grpSp>
      <xdr:nvGrpSpPr>
        <xdr:cNvPr id="1060" name="Group 8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GrpSpPr>
          <a:grpSpLocks/>
        </xdr:cNvGrpSpPr>
      </xdr:nvGrpSpPr>
      <xdr:grpSpPr bwMode="auto">
        <a:xfrm>
          <a:off x="4219328" y="152400"/>
          <a:ext cx="400050" cy="907787"/>
          <a:chOff x="113" y="204"/>
          <a:chExt cx="134" cy="383"/>
        </a:xfrm>
      </xdr:grpSpPr>
      <xdr:sp macro="" textlink="">
        <xdr:nvSpPr>
          <xdr:cNvPr id="1063" name="AutoShape 1">
            <a:extLst>
              <a:ext uri="{FF2B5EF4-FFF2-40B4-BE49-F238E27FC236}">
                <a16:creationId xmlns:a16="http://schemas.microsoft.com/office/drawing/2014/main" id="{00000000-0008-0000-0000-000027040000}"/>
              </a:ext>
            </a:extLst>
          </xdr:cNvPr>
          <xdr:cNvSpPr>
            <a:spLocks noChangeArrowheads="1"/>
          </xdr:cNvSpPr>
        </xdr:nvSpPr>
        <xdr:spPr bwMode="auto">
          <a:xfrm>
            <a:off x="113" y="509"/>
            <a:ext cx="70" cy="70"/>
          </a:xfrm>
          <a:prstGeom prst="star16">
            <a:avLst>
              <a:gd name="adj" fmla="val 37500"/>
            </a:avLst>
          </a:prstGeom>
          <a:solidFill>
            <a:srgbClr val="000000"/>
          </a:solidFill>
          <a:ln w="12700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19191"/>
                  </a:outerShdw>
                </a:effectLst>
              </a14:hiddenEffects>
            </a:ext>
          </a:extLst>
        </xdr:spPr>
      </xdr:sp>
      <xdr:sp macro="" textlink="">
        <xdr:nvSpPr>
          <xdr:cNvPr id="1064" name="AutoShape 2">
            <a:extLst>
              <a:ext uri="{FF2B5EF4-FFF2-40B4-BE49-F238E27FC236}">
                <a16:creationId xmlns:a16="http://schemas.microsoft.com/office/drawing/2014/main" id="{00000000-0008-0000-0000-000028040000}"/>
              </a:ext>
            </a:extLst>
          </xdr:cNvPr>
          <xdr:cNvSpPr>
            <a:spLocks noChangeArrowheads="1"/>
          </xdr:cNvSpPr>
        </xdr:nvSpPr>
        <xdr:spPr bwMode="auto">
          <a:xfrm>
            <a:off x="177" y="469"/>
            <a:ext cx="70" cy="70"/>
          </a:xfrm>
          <a:prstGeom prst="star16">
            <a:avLst>
              <a:gd name="adj" fmla="val 37500"/>
            </a:avLst>
          </a:prstGeom>
          <a:solidFill>
            <a:srgbClr val="000000"/>
          </a:solidFill>
          <a:ln w="12700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19191"/>
                  </a:outerShdw>
                </a:effectLst>
              </a14:hiddenEffects>
            </a:ext>
          </a:extLst>
        </xdr:spPr>
      </xdr:sp>
      <xdr:sp macro="" textlink="">
        <xdr:nvSpPr>
          <xdr:cNvPr id="1065" name="AutoShape 3">
            <a:extLst>
              <a:ext uri="{FF2B5EF4-FFF2-40B4-BE49-F238E27FC236}">
                <a16:creationId xmlns:a16="http://schemas.microsoft.com/office/drawing/2014/main" id="{00000000-0008-0000-0000-000029040000}"/>
              </a:ext>
            </a:extLst>
          </xdr:cNvPr>
          <xdr:cNvSpPr>
            <a:spLocks noChangeArrowheads="1"/>
          </xdr:cNvSpPr>
        </xdr:nvSpPr>
        <xdr:spPr bwMode="auto">
          <a:xfrm>
            <a:off x="161" y="517"/>
            <a:ext cx="70" cy="70"/>
          </a:xfrm>
          <a:prstGeom prst="star16">
            <a:avLst>
              <a:gd name="adj" fmla="val 37500"/>
            </a:avLst>
          </a:prstGeom>
          <a:solidFill>
            <a:srgbClr val="000000"/>
          </a:solidFill>
          <a:ln w="12700">
            <a:solidFill>
              <a:srgbClr val="FFFFFF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19191"/>
                  </a:outerShdw>
                </a:effectLst>
              </a14:hiddenEffects>
            </a:ext>
          </a:extLst>
        </xdr:spPr>
      </xdr:sp>
      <xdr:sp macro="" textlink="">
        <xdr:nvSpPr>
          <xdr:cNvPr id="1066" name="Freeform 4">
            <a:extLst>
              <a:ext uri="{FF2B5EF4-FFF2-40B4-BE49-F238E27FC236}">
                <a16:creationId xmlns:a16="http://schemas.microsoft.com/office/drawing/2014/main" id="{00000000-0008-0000-0000-00002A040000}"/>
              </a:ext>
            </a:extLst>
          </xdr:cNvPr>
          <xdr:cNvSpPr>
            <a:spLocks/>
          </xdr:cNvSpPr>
        </xdr:nvSpPr>
        <xdr:spPr bwMode="auto">
          <a:xfrm>
            <a:off x="124" y="361"/>
            <a:ext cx="16" cy="107"/>
          </a:xfrm>
          <a:custGeom>
            <a:avLst/>
            <a:gdLst>
              <a:gd name="T0" fmla="*/ 2 w 99"/>
              <a:gd name="T1" fmla="*/ 18 h 641"/>
              <a:gd name="T2" fmla="*/ 0 w 99"/>
              <a:gd name="T3" fmla="*/ 13 h 641"/>
              <a:gd name="T4" fmla="*/ 2 w 99"/>
              <a:gd name="T5" fmla="*/ 11 h 641"/>
              <a:gd name="T6" fmla="*/ 2 w 99"/>
              <a:gd name="T7" fmla="*/ 11 h 641"/>
              <a:gd name="T8" fmla="*/ 2 w 99"/>
              <a:gd name="T9" fmla="*/ 10 h 641"/>
              <a:gd name="T10" fmla="*/ 2 w 99"/>
              <a:gd name="T11" fmla="*/ 9 h 641"/>
              <a:gd name="T12" fmla="*/ 1 w 99"/>
              <a:gd name="T13" fmla="*/ 8 h 641"/>
              <a:gd name="T14" fmla="*/ 1 w 99"/>
              <a:gd name="T15" fmla="*/ 7 h 641"/>
              <a:gd name="T16" fmla="*/ 2 w 99"/>
              <a:gd name="T17" fmla="*/ 4 h 641"/>
              <a:gd name="T18" fmla="*/ 3 w 99"/>
              <a:gd name="T19" fmla="*/ 3 h 641"/>
              <a:gd name="T20" fmla="*/ 2 w 99"/>
              <a:gd name="T21" fmla="*/ 2 h 641"/>
              <a:gd name="T22" fmla="*/ 2 w 99"/>
              <a:gd name="T23" fmla="*/ 1 h 641"/>
              <a:gd name="T24" fmla="*/ 1 w 99"/>
              <a:gd name="T25" fmla="*/ 1 h 641"/>
              <a:gd name="T26" fmla="*/ 1 w 99"/>
              <a:gd name="T27" fmla="*/ 0 h 6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99" h="641">
                <a:moveTo>
                  <a:pt x="73" y="640"/>
                </a:moveTo>
                <a:lnTo>
                  <a:pt x="0" y="468"/>
                </a:lnTo>
                <a:lnTo>
                  <a:pt x="59" y="410"/>
                </a:lnTo>
                <a:lnTo>
                  <a:pt x="69" y="380"/>
                </a:lnTo>
                <a:lnTo>
                  <a:pt x="78" y="351"/>
                </a:lnTo>
                <a:lnTo>
                  <a:pt x="69" y="312"/>
                </a:lnTo>
                <a:lnTo>
                  <a:pt x="30" y="283"/>
                </a:lnTo>
                <a:lnTo>
                  <a:pt x="30" y="263"/>
                </a:lnTo>
                <a:lnTo>
                  <a:pt x="78" y="146"/>
                </a:lnTo>
                <a:lnTo>
                  <a:pt x="98" y="107"/>
                </a:lnTo>
                <a:lnTo>
                  <a:pt x="88" y="59"/>
                </a:lnTo>
                <a:lnTo>
                  <a:pt x="69" y="29"/>
                </a:lnTo>
                <a:lnTo>
                  <a:pt x="49" y="20"/>
                </a:lnTo>
                <a:lnTo>
                  <a:pt x="49" y="0"/>
                </a:lnTo>
              </a:path>
            </a:pathLst>
          </a:custGeom>
          <a:noFill/>
          <a:ln w="25400" cap="rnd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618FFD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19191"/>
                  </a:outerShdw>
                </a:effectLst>
              </a14:hiddenEffects>
            </a:ext>
          </a:extLst>
        </xdr:spPr>
      </xdr:sp>
      <xdr:sp macro="" textlink="">
        <xdr:nvSpPr>
          <xdr:cNvPr id="1067" name="Freeform 5">
            <a:extLst>
              <a:ext uri="{FF2B5EF4-FFF2-40B4-BE49-F238E27FC236}">
                <a16:creationId xmlns:a16="http://schemas.microsoft.com/office/drawing/2014/main" id="{00000000-0008-0000-0000-00002B040000}"/>
              </a:ext>
            </a:extLst>
          </xdr:cNvPr>
          <xdr:cNvSpPr>
            <a:spLocks/>
          </xdr:cNvSpPr>
        </xdr:nvSpPr>
        <xdr:spPr bwMode="auto">
          <a:xfrm>
            <a:off x="160" y="396"/>
            <a:ext cx="12" cy="72"/>
          </a:xfrm>
          <a:custGeom>
            <a:avLst/>
            <a:gdLst>
              <a:gd name="T0" fmla="*/ 1 w 74"/>
              <a:gd name="T1" fmla="*/ 12 h 433"/>
              <a:gd name="T2" fmla="*/ 0 w 74"/>
              <a:gd name="T3" fmla="*/ 9 h 433"/>
              <a:gd name="T4" fmla="*/ 1 w 74"/>
              <a:gd name="T5" fmla="*/ 8 h 433"/>
              <a:gd name="T6" fmla="*/ 1 w 74"/>
              <a:gd name="T7" fmla="*/ 7 h 433"/>
              <a:gd name="T8" fmla="*/ 1 w 74"/>
              <a:gd name="T9" fmla="*/ 6 h 433"/>
              <a:gd name="T10" fmla="*/ 1 w 74"/>
              <a:gd name="T11" fmla="*/ 6 h 433"/>
              <a:gd name="T12" fmla="*/ 1 w 74"/>
              <a:gd name="T13" fmla="*/ 5 h 433"/>
              <a:gd name="T14" fmla="*/ 1 w 74"/>
              <a:gd name="T15" fmla="*/ 5 h 433"/>
              <a:gd name="T16" fmla="*/ 1 w 74"/>
              <a:gd name="T17" fmla="*/ 3 h 433"/>
              <a:gd name="T18" fmla="*/ 2 w 74"/>
              <a:gd name="T19" fmla="*/ 2 h 433"/>
              <a:gd name="T20" fmla="*/ 2 w 74"/>
              <a:gd name="T21" fmla="*/ 1 h 433"/>
              <a:gd name="T22" fmla="*/ 1 w 74"/>
              <a:gd name="T23" fmla="*/ 0 h 433"/>
              <a:gd name="T24" fmla="*/ 1 w 74"/>
              <a:gd name="T25" fmla="*/ 0 h 433"/>
              <a:gd name="T26" fmla="*/ 1 w 74"/>
              <a:gd name="T27" fmla="*/ 0 h 43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74" h="433">
                <a:moveTo>
                  <a:pt x="54" y="432"/>
                </a:moveTo>
                <a:lnTo>
                  <a:pt x="0" y="316"/>
                </a:lnTo>
                <a:lnTo>
                  <a:pt x="44" y="277"/>
                </a:lnTo>
                <a:lnTo>
                  <a:pt x="51" y="257"/>
                </a:lnTo>
                <a:lnTo>
                  <a:pt x="58" y="237"/>
                </a:lnTo>
                <a:lnTo>
                  <a:pt x="51" y="211"/>
                </a:lnTo>
                <a:lnTo>
                  <a:pt x="22" y="191"/>
                </a:lnTo>
                <a:lnTo>
                  <a:pt x="22" y="178"/>
                </a:lnTo>
                <a:lnTo>
                  <a:pt x="58" y="99"/>
                </a:lnTo>
                <a:lnTo>
                  <a:pt x="73" y="72"/>
                </a:lnTo>
                <a:lnTo>
                  <a:pt x="66" y="40"/>
                </a:lnTo>
                <a:lnTo>
                  <a:pt x="51" y="20"/>
                </a:lnTo>
                <a:lnTo>
                  <a:pt x="37" y="14"/>
                </a:lnTo>
                <a:lnTo>
                  <a:pt x="37" y="0"/>
                </a:lnTo>
              </a:path>
            </a:pathLst>
          </a:custGeom>
          <a:noFill/>
          <a:ln w="25400" cap="rnd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618FFD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19191"/>
                  </a:outerShdw>
                </a:effectLst>
              </a14:hiddenEffects>
            </a:ext>
          </a:extLst>
        </xdr:spPr>
      </xdr:sp>
      <xdr:sp macro="" textlink="">
        <xdr:nvSpPr>
          <xdr:cNvPr id="1068" name="Freeform 6">
            <a:extLst>
              <a:ext uri="{FF2B5EF4-FFF2-40B4-BE49-F238E27FC236}">
                <a16:creationId xmlns:a16="http://schemas.microsoft.com/office/drawing/2014/main" id="{00000000-0008-0000-0000-00002C040000}"/>
              </a:ext>
            </a:extLst>
          </xdr:cNvPr>
          <xdr:cNvSpPr>
            <a:spLocks/>
          </xdr:cNvSpPr>
        </xdr:nvSpPr>
        <xdr:spPr bwMode="auto">
          <a:xfrm>
            <a:off x="180" y="268"/>
            <a:ext cx="20" cy="168"/>
          </a:xfrm>
          <a:custGeom>
            <a:avLst/>
            <a:gdLst>
              <a:gd name="T0" fmla="*/ 2 w 122"/>
              <a:gd name="T1" fmla="*/ 28 h 1009"/>
              <a:gd name="T2" fmla="*/ 0 w 122"/>
              <a:gd name="T3" fmla="*/ 20 h 1009"/>
              <a:gd name="T4" fmla="*/ 2 w 122"/>
              <a:gd name="T5" fmla="*/ 18 h 1009"/>
              <a:gd name="T6" fmla="*/ 2 w 122"/>
              <a:gd name="T7" fmla="*/ 17 h 1009"/>
              <a:gd name="T8" fmla="*/ 3 w 122"/>
              <a:gd name="T9" fmla="*/ 15 h 1009"/>
              <a:gd name="T10" fmla="*/ 2 w 122"/>
              <a:gd name="T11" fmla="*/ 14 h 1009"/>
              <a:gd name="T12" fmla="*/ 1 w 122"/>
              <a:gd name="T13" fmla="*/ 12 h 1009"/>
              <a:gd name="T14" fmla="*/ 1 w 122"/>
              <a:gd name="T15" fmla="*/ 11 h 1009"/>
              <a:gd name="T16" fmla="*/ 3 w 122"/>
              <a:gd name="T17" fmla="*/ 6 h 1009"/>
              <a:gd name="T18" fmla="*/ 3 w 122"/>
              <a:gd name="T19" fmla="*/ 5 h 1009"/>
              <a:gd name="T20" fmla="*/ 3 w 122"/>
              <a:gd name="T21" fmla="*/ 2 h 1009"/>
              <a:gd name="T22" fmla="*/ 2 w 122"/>
              <a:gd name="T23" fmla="*/ 1 h 1009"/>
              <a:gd name="T24" fmla="*/ 2 w 122"/>
              <a:gd name="T25" fmla="*/ 1 h 1009"/>
              <a:gd name="T26" fmla="*/ 2 w 122"/>
              <a:gd name="T27" fmla="*/ 0 h 1009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22" h="1009">
                <a:moveTo>
                  <a:pt x="90" y="1008"/>
                </a:moveTo>
                <a:lnTo>
                  <a:pt x="0" y="737"/>
                </a:lnTo>
                <a:lnTo>
                  <a:pt x="73" y="646"/>
                </a:lnTo>
                <a:lnTo>
                  <a:pt x="85" y="599"/>
                </a:lnTo>
                <a:lnTo>
                  <a:pt x="96" y="553"/>
                </a:lnTo>
                <a:lnTo>
                  <a:pt x="85" y="491"/>
                </a:lnTo>
                <a:lnTo>
                  <a:pt x="37" y="446"/>
                </a:lnTo>
                <a:lnTo>
                  <a:pt x="37" y="414"/>
                </a:lnTo>
                <a:lnTo>
                  <a:pt x="96" y="230"/>
                </a:lnTo>
                <a:lnTo>
                  <a:pt x="121" y="169"/>
                </a:lnTo>
                <a:lnTo>
                  <a:pt x="109" y="93"/>
                </a:lnTo>
                <a:lnTo>
                  <a:pt x="85" y="46"/>
                </a:lnTo>
                <a:lnTo>
                  <a:pt x="61" y="32"/>
                </a:lnTo>
                <a:lnTo>
                  <a:pt x="61" y="0"/>
                </a:lnTo>
              </a:path>
            </a:pathLst>
          </a:custGeom>
          <a:noFill/>
          <a:ln w="25400" cap="rnd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618FFD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19191"/>
                  </a:outerShdw>
                </a:effectLst>
              </a14:hiddenEffects>
            </a:ext>
          </a:extLst>
        </xdr:spPr>
      </xdr:sp>
      <xdr:sp macro="" textlink="">
        <xdr:nvSpPr>
          <xdr:cNvPr id="1069" name="Freeform 7">
            <a:extLst>
              <a:ext uri="{FF2B5EF4-FFF2-40B4-BE49-F238E27FC236}">
                <a16:creationId xmlns:a16="http://schemas.microsoft.com/office/drawing/2014/main" id="{00000000-0008-0000-0000-00002D040000}"/>
              </a:ext>
            </a:extLst>
          </xdr:cNvPr>
          <xdr:cNvSpPr>
            <a:spLocks/>
          </xdr:cNvSpPr>
        </xdr:nvSpPr>
        <xdr:spPr bwMode="auto">
          <a:xfrm>
            <a:off x="144" y="204"/>
            <a:ext cx="28" cy="176"/>
          </a:xfrm>
          <a:custGeom>
            <a:avLst/>
            <a:gdLst>
              <a:gd name="T0" fmla="*/ 3 w 170"/>
              <a:gd name="T1" fmla="*/ 29 h 1057"/>
              <a:gd name="T2" fmla="*/ 0 w 170"/>
              <a:gd name="T3" fmla="*/ 21 h 1057"/>
              <a:gd name="T4" fmla="*/ 3 w 170"/>
              <a:gd name="T5" fmla="*/ 19 h 1057"/>
              <a:gd name="T6" fmla="*/ 3 w 170"/>
              <a:gd name="T7" fmla="*/ 17 h 1057"/>
              <a:gd name="T8" fmla="*/ 4 w 170"/>
              <a:gd name="T9" fmla="*/ 16 h 1057"/>
              <a:gd name="T10" fmla="*/ 3 w 170"/>
              <a:gd name="T11" fmla="*/ 14 h 1057"/>
              <a:gd name="T12" fmla="*/ 1 w 170"/>
              <a:gd name="T13" fmla="*/ 13 h 1057"/>
              <a:gd name="T14" fmla="*/ 1 w 170"/>
              <a:gd name="T15" fmla="*/ 12 h 1057"/>
              <a:gd name="T16" fmla="*/ 4 w 170"/>
              <a:gd name="T17" fmla="*/ 7 h 1057"/>
              <a:gd name="T18" fmla="*/ 5 w 170"/>
              <a:gd name="T19" fmla="*/ 5 h 1057"/>
              <a:gd name="T20" fmla="*/ 4 w 170"/>
              <a:gd name="T21" fmla="*/ 3 h 1057"/>
              <a:gd name="T22" fmla="*/ 3 w 170"/>
              <a:gd name="T23" fmla="*/ 1 h 1057"/>
              <a:gd name="T24" fmla="*/ 2 w 170"/>
              <a:gd name="T25" fmla="*/ 1 h 1057"/>
              <a:gd name="T26" fmla="*/ 2 w 170"/>
              <a:gd name="T27" fmla="*/ 0 h 1057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70" h="1057">
                <a:moveTo>
                  <a:pt x="126" y="1056"/>
                </a:moveTo>
                <a:lnTo>
                  <a:pt x="0" y="772"/>
                </a:lnTo>
                <a:lnTo>
                  <a:pt x="102" y="677"/>
                </a:lnTo>
                <a:lnTo>
                  <a:pt x="119" y="627"/>
                </a:lnTo>
                <a:lnTo>
                  <a:pt x="135" y="579"/>
                </a:lnTo>
                <a:lnTo>
                  <a:pt x="119" y="515"/>
                </a:lnTo>
                <a:lnTo>
                  <a:pt x="52" y="467"/>
                </a:lnTo>
                <a:lnTo>
                  <a:pt x="52" y="434"/>
                </a:lnTo>
                <a:lnTo>
                  <a:pt x="135" y="241"/>
                </a:lnTo>
                <a:lnTo>
                  <a:pt x="169" y="177"/>
                </a:lnTo>
                <a:lnTo>
                  <a:pt x="152" y="97"/>
                </a:lnTo>
                <a:lnTo>
                  <a:pt x="119" y="48"/>
                </a:lnTo>
                <a:lnTo>
                  <a:pt x="85" y="33"/>
                </a:lnTo>
                <a:lnTo>
                  <a:pt x="85" y="0"/>
                </a:lnTo>
              </a:path>
            </a:pathLst>
          </a:custGeom>
          <a:noFill/>
          <a:ln w="25400" cap="rnd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618FFD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19191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591110</xdr:colOff>
      <xdr:row>31</xdr:row>
      <xdr:rowOff>99732</xdr:rowOff>
    </xdr:from>
    <xdr:to>
      <xdr:col>5</xdr:col>
      <xdr:colOff>124385</xdr:colOff>
      <xdr:row>32</xdr:row>
      <xdr:rowOff>71157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rrowheads="1"/>
        </xdr:cNvSpPr>
      </xdr:nvSpPr>
      <xdr:spPr bwMode="auto">
        <a:xfrm>
          <a:off x="2877110" y="6750423"/>
          <a:ext cx="934010" cy="245969"/>
        </a:xfrm>
        <a:prstGeom prst="cloudCallout">
          <a:avLst>
            <a:gd name="adj1" fmla="val -50370"/>
            <a:gd name="adj2" fmla="val 1450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A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Gegenkonto</a:t>
          </a:r>
          <a:endParaRPr lang="de-AT"/>
        </a:p>
      </xdr:txBody>
    </xdr:sp>
    <xdr:clientData/>
  </xdr:twoCellAnchor>
  <xdr:twoCellAnchor editAs="oneCell">
    <xdr:from>
      <xdr:col>5</xdr:col>
      <xdr:colOff>3805</xdr:colOff>
      <xdr:row>90</xdr:row>
      <xdr:rowOff>158576</xdr:rowOff>
    </xdr:from>
    <xdr:to>
      <xdr:col>9</xdr:col>
      <xdr:colOff>116539</xdr:colOff>
      <xdr:row>97</xdr:row>
      <xdr:rowOff>61502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B89B1D4-CABF-70D3-A192-7E908DC03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1208" y="18207547"/>
          <a:ext cx="4227229" cy="154720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nterholzer Stefan" id="{CE5597B5-448E-4BA7-B956-82A239EF48B0}" userId="S::P20016@fhooe.at::6a077e09-2621-4617-a214-6a0ae6f4ad8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6" dT="2024-08-07T14:15:25.93" personId="{CE5597B5-448E-4BA7-B956-82A239EF48B0}" id="{7AF25B97-3EF0-42C5-8F5C-109C5EEDBAD7}">
    <text>Dieses Konto ist nur ein Hilfskonstrukt zum "seitenrichtigen" eröffnen der Bestandskonten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87" zoomScale="143" workbookViewId="0">
      <selection activeCell="C100" sqref="C100"/>
    </sheetView>
  </sheetViews>
  <sheetFormatPr baseColWidth="10" defaultColWidth="11.4609375" defaultRowHeight="12.45" x14ac:dyDescent="0.3"/>
  <cols>
    <col min="1" max="1" width="13.4609375" style="2" customWidth="1"/>
    <col min="2" max="3" width="11.4609375" style="2"/>
    <col min="4" max="4" width="11.4609375" style="1"/>
    <col min="5" max="5" width="9.53515625" style="2" customWidth="1"/>
    <col min="6" max="6" width="19.765625" style="2" customWidth="1"/>
    <col min="7" max="7" width="15.4609375" style="2" customWidth="1"/>
    <col min="8" max="16384" width="11.4609375" style="2"/>
  </cols>
  <sheetData>
    <row r="1" spans="1:6" x14ac:dyDescent="0.3">
      <c r="A1" s="17" t="s">
        <v>72</v>
      </c>
      <c r="B1" s="18"/>
      <c r="C1" s="18"/>
      <c r="D1" s="15"/>
      <c r="E1" s="18"/>
      <c r="F1" s="18"/>
    </row>
    <row r="2" spans="1:6" ht="15.75" customHeight="1" x14ac:dyDescent="0.3">
      <c r="A2" s="15" t="s">
        <v>73</v>
      </c>
      <c r="B2" s="18"/>
      <c r="C2" s="18"/>
      <c r="D2" s="15"/>
      <c r="E2" s="18"/>
      <c r="F2" s="18"/>
    </row>
    <row r="3" spans="1:6" ht="21.75" customHeight="1" x14ac:dyDescent="0.3"/>
    <row r="4" spans="1:6" ht="21.75" customHeight="1" x14ac:dyDescent="0.4">
      <c r="A4" s="14"/>
      <c r="C4" s="16" t="s">
        <v>60</v>
      </c>
    </row>
    <row r="5" spans="1:6" ht="21.75" customHeight="1" x14ac:dyDescent="0.35">
      <c r="A5" s="14"/>
    </row>
    <row r="6" spans="1:6" ht="21.75" customHeight="1" x14ac:dyDescent="0.35">
      <c r="A6" s="4" t="s">
        <v>0</v>
      </c>
      <c r="B6" s="73" t="s">
        <v>2</v>
      </c>
      <c r="C6" s="73"/>
      <c r="D6" s="73"/>
      <c r="E6" s="19"/>
      <c r="F6" s="4" t="s">
        <v>1</v>
      </c>
    </row>
    <row r="7" spans="1:6" x14ac:dyDescent="0.3">
      <c r="A7" s="2" t="s">
        <v>66</v>
      </c>
      <c r="C7" s="20">
        <v>600</v>
      </c>
      <c r="D7" s="2" t="s">
        <v>69</v>
      </c>
      <c r="F7" s="21">
        <v>490</v>
      </c>
    </row>
    <row r="8" spans="1:6" x14ac:dyDescent="0.3">
      <c r="A8" s="2" t="s">
        <v>67</v>
      </c>
      <c r="C8" s="22">
        <v>40</v>
      </c>
      <c r="D8" s="2" t="s">
        <v>70</v>
      </c>
      <c r="F8" s="21">
        <v>200</v>
      </c>
    </row>
    <row r="9" spans="1:6" x14ac:dyDescent="0.3">
      <c r="A9" s="2" t="s">
        <v>68</v>
      </c>
      <c r="C9" s="23">
        <v>50</v>
      </c>
    </row>
    <row r="10" spans="1:6" ht="12.9" thickBot="1" x14ac:dyDescent="0.35">
      <c r="C10" s="24">
        <f>SUM(C7:C9)</f>
        <v>690</v>
      </c>
      <c r="D10" s="9"/>
      <c r="F10" s="25">
        <f>SUM(F7:F9)</f>
        <v>690</v>
      </c>
    </row>
    <row r="11" spans="1:6" ht="21.75" customHeight="1" thickTop="1" x14ac:dyDescent="0.3">
      <c r="C11" s="21"/>
      <c r="F11" s="21"/>
    </row>
    <row r="12" spans="1:6" x14ac:dyDescent="0.3">
      <c r="A12" s="2" t="s">
        <v>48</v>
      </c>
      <c r="C12" s="21"/>
      <c r="F12" s="21"/>
    </row>
    <row r="13" spans="1:6" x14ac:dyDescent="0.3">
      <c r="A13" s="2" t="s">
        <v>37</v>
      </c>
      <c r="C13" s="21"/>
      <c r="F13" s="21"/>
    </row>
    <row r="14" spans="1:6" x14ac:dyDescent="0.3">
      <c r="A14" s="2" t="s">
        <v>38</v>
      </c>
      <c r="C14" s="21"/>
      <c r="F14" s="21"/>
    </row>
    <row r="15" spans="1:6" ht="21.75" customHeight="1" x14ac:dyDescent="0.3">
      <c r="C15" s="21"/>
      <c r="F15" s="21"/>
    </row>
    <row r="16" spans="1:6" ht="12.9" x14ac:dyDescent="0.35">
      <c r="A16" s="38" t="s">
        <v>31</v>
      </c>
      <c r="B16" s="38"/>
      <c r="C16" s="39" t="s">
        <v>39</v>
      </c>
      <c r="D16" s="40"/>
      <c r="E16" s="38"/>
      <c r="F16" s="39" t="s">
        <v>32</v>
      </c>
    </row>
    <row r="17" spans="1:10" ht="12.9" x14ac:dyDescent="0.35">
      <c r="A17" s="41" t="s">
        <v>69</v>
      </c>
      <c r="B17" s="41"/>
      <c r="C17" s="42">
        <v>490</v>
      </c>
      <c r="D17" s="41" t="s">
        <v>66</v>
      </c>
      <c r="E17" s="41"/>
      <c r="F17" s="42">
        <v>600</v>
      </c>
    </row>
    <row r="18" spans="1:10" ht="12.9" x14ac:dyDescent="0.35">
      <c r="A18" s="41" t="s">
        <v>70</v>
      </c>
      <c r="B18" s="41"/>
      <c r="C18" s="43">
        <v>200</v>
      </c>
      <c r="D18" s="41" t="s">
        <v>67</v>
      </c>
      <c r="E18" s="41"/>
      <c r="F18" s="44">
        <v>40</v>
      </c>
    </row>
    <row r="19" spans="1:10" ht="12.9" x14ac:dyDescent="0.35">
      <c r="A19" s="41"/>
      <c r="B19" s="41"/>
      <c r="C19" s="45"/>
      <c r="D19" s="41" t="s">
        <v>71</v>
      </c>
      <c r="E19" s="41"/>
      <c r="F19" s="45">
        <v>50</v>
      </c>
    </row>
    <row r="20" spans="1:10" ht="13.3" thickBot="1" x14ac:dyDescent="0.4">
      <c r="A20" s="41"/>
      <c r="B20" s="46"/>
      <c r="C20" s="47">
        <f>SUM(C17:C19)</f>
        <v>690</v>
      </c>
      <c r="D20" s="48"/>
      <c r="E20" s="41"/>
      <c r="F20" s="47">
        <f>SUM(F17:F19)</f>
        <v>690</v>
      </c>
    </row>
    <row r="21" spans="1:10" ht="21.75" customHeight="1" thickTop="1" x14ac:dyDescent="0.3"/>
    <row r="22" spans="1:10" s="1" customFormat="1" ht="21.75" customHeight="1" x14ac:dyDescent="0.3">
      <c r="A22" s="1" t="s">
        <v>59</v>
      </c>
    </row>
    <row r="23" spans="1:10" ht="21.75" customHeight="1" x14ac:dyDescent="0.3">
      <c r="A23" s="2" t="s">
        <v>49</v>
      </c>
    </row>
    <row r="24" spans="1:10" x14ac:dyDescent="0.3">
      <c r="A24" s="2" t="s">
        <v>10</v>
      </c>
    </row>
    <row r="25" spans="1:10" x14ac:dyDescent="0.3">
      <c r="A25" s="2" t="s">
        <v>11</v>
      </c>
    </row>
    <row r="26" spans="1:10" s="1" customFormat="1" ht="21.75" customHeight="1" x14ac:dyDescent="0.35">
      <c r="A26" s="1" t="s">
        <v>12</v>
      </c>
      <c r="D26" s="1" t="s">
        <v>13</v>
      </c>
      <c r="G26" s="5" t="s">
        <v>15</v>
      </c>
      <c r="H26" s="2" t="s">
        <v>76</v>
      </c>
      <c r="J26" s="2"/>
    </row>
    <row r="27" spans="1:10" s="1" customFormat="1" ht="12.9" x14ac:dyDescent="0.35">
      <c r="D27" s="1" t="s">
        <v>14</v>
      </c>
      <c r="G27" s="5" t="s">
        <v>16</v>
      </c>
    </row>
    <row r="28" spans="1:10" s="1" customFormat="1" ht="20.25" customHeight="1" x14ac:dyDescent="0.35">
      <c r="B28" s="1" t="s">
        <v>17</v>
      </c>
      <c r="D28" s="1" t="s">
        <v>18</v>
      </c>
      <c r="E28" s="6" t="s">
        <v>19</v>
      </c>
      <c r="F28" s="1" t="s">
        <v>18</v>
      </c>
      <c r="G28" s="1" t="s">
        <v>22</v>
      </c>
      <c r="H28" s="5" t="s">
        <v>20</v>
      </c>
    </row>
    <row r="29" spans="1:10" ht="21.75" customHeight="1" x14ac:dyDescent="0.3">
      <c r="A29" s="2" t="s">
        <v>7</v>
      </c>
    </row>
    <row r="30" spans="1:10" ht="21.75" customHeight="1" x14ac:dyDescent="0.3">
      <c r="A30" s="2" t="s">
        <v>8</v>
      </c>
      <c r="B30" s="2" t="s">
        <v>9</v>
      </c>
      <c r="C30" s="26" t="s">
        <v>19</v>
      </c>
      <c r="D30" s="1" t="s">
        <v>21</v>
      </c>
    </row>
    <row r="31" spans="1:10" ht="21.75" customHeight="1" x14ac:dyDescent="0.35">
      <c r="B31" s="5" t="s">
        <v>23</v>
      </c>
      <c r="C31" s="5"/>
      <c r="D31" s="10" t="s">
        <v>24</v>
      </c>
    </row>
    <row r="32" spans="1:10" ht="21.75" customHeight="1" x14ac:dyDescent="0.3"/>
    <row r="33" spans="1:8" ht="19.5" customHeight="1" x14ac:dyDescent="0.3">
      <c r="A33" s="1" t="s">
        <v>25</v>
      </c>
      <c r="D33" s="19" t="s">
        <v>31</v>
      </c>
      <c r="E33" s="73" t="s">
        <v>9</v>
      </c>
      <c r="F33" s="73"/>
      <c r="G33" s="27" t="s">
        <v>32</v>
      </c>
    </row>
    <row r="34" spans="1:8" x14ac:dyDescent="0.3">
      <c r="A34" s="2" t="s">
        <v>26</v>
      </c>
      <c r="D34" s="29" t="s">
        <v>74</v>
      </c>
      <c r="E34" s="30">
        <v>15</v>
      </c>
      <c r="F34" s="31" t="s">
        <v>88</v>
      </c>
      <c r="G34" s="31">
        <v>5</v>
      </c>
      <c r="H34" s="2" t="s">
        <v>46</v>
      </c>
    </row>
    <row r="35" spans="1:8" x14ac:dyDescent="0.3">
      <c r="A35" s="2" t="s">
        <v>27</v>
      </c>
      <c r="D35" s="29"/>
      <c r="E35" s="32"/>
      <c r="F35" s="31" t="s">
        <v>89</v>
      </c>
      <c r="G35" s="33">
        <v>10</v>
      </c>
    </row>
    <row r="36" spans="1:8" ht="12.9" thickBot="1" x14ac:dyDescent="0.35">
      <c r="A36" s="2" t="s">
        <v>28</v>
      </c>
      <c r="D36" s="29"/>
      <c r="E36" s="34"/>
      <c r="F36" s="31"/>
      <c r="G36" s="35">
        <v>15</v>
      </c>
    </row>
    <row r="37" spans="1:8" ht="21.75" customHeight="1" thickTop="1" x14ac:dyDescent="0.3"/>
    <row r="38" spans="1:8" s="1" customFormat="1" ht="21.75" customHeight="1" x14ac:dyDescent="0.3">
      <c r="A38" s="1" t="s">
        <v>50</v>
      </c>
    </row>
    <row r="39" spans="1:8" x14ac:dyDescent="0.3">
      <c r="A39" s="2" t="s">
        <v>30</v>
      </c>
    </row>
    <row r="40" spans="1:8" x14ac:dyDescent="0.3">
      <c r="A40" s="7" t="s">
        <v>61</v>
      </c>
      <c r="C40" s="2" t="s">
        <v>77</v>
      </c>
      <c r="E40" s="2" t="e" cm="1">
        <f t="array" ref="E40">--C55&gt; Bilanzverkürzung</f>
        <v>#VALUE!</v>
      </c>
    </row>
    <row r="41" spans="1:8" x14ac:dyDescent="0.3">
      <c r="A41" s="2" t="s">
        <v>29</v>
      </c>
    </row>
    <row r="45" spans="1:8" x14ac:dyDescent="0.3">
      <c r="A45" s="19" t="s">
        <v>31</v>
      </c>
      <c r="B45" s="74" t="s">
        <v>21</v>
      </c>
      <c r="C45" s="74"/>
      <c r="D45" s="12" t="s">
        <v>32</v>
      </c>
    </row>
    <row r="46" spans="1:8" x14ac:dyDescent="0.3">
      <c r="A46" s="31" t="s">
        <v>65</v>
      </c>
      <c r="B46" s="30">
        <v>50</v>
      </c>
      <c r="C46" s="31" t="s">
        <v>75</v>
      </c>
      <c r="D46" s="29">
        <v>15</v>
      </c>
    </row>
    <row r="47" spans="1:8" x14ac:dyDescent="0.3">
      <c r="A47" s="31" t="s">
        <v>84</v>
      </c>
      <c r="B47" s="49">
        <v>115</v>
      </c>
      <c r="C47" s="31" t="s">
        <v>79</v>
      </c>
      <c r="D47" s="50">
        <v>10</v>
      </c>
    </row>
    <row r="48" spans="1:8" x14ac:dyDescent="0.3">
      <c r="A48" s="31"/>
      <c r="B48" s="51"/>
      <c r="C48" s="31"/>
      <c r="D48" s="50"/>
    </row>
    <row r="49" spans="1:7" x14ac:dyDescent="0.3">
      <c r="A49" s="31"/>
      <c r="B49" s="52"/>
      <c r="C49" s="31"/>
      <c r="D49" s="53"/>
    </row>
    <row r="50" spans="1:7" ht="12.9" thickBot="1" x14ac:dyDescent="0.35">
      <c r="A50" s="31"/>
      <c r="B50" s="54"/>
      <c r="C50" s="55"/>
      <c r="D50" s="56"/>
    </row>
    <row r="51" spans="1:7" ht="31.5" customHeight="1" thickTop="1" x14ac:dyDescent="0.3">
      <c r="A51" s="19"/>
      <c r="B51" s="74" t="s">
        <v>33</v>
      </c>
      <c r="C51" s="74"/>
      <c r="D51" s="13"/>
      <c r="E51" s="8"/>
      <c r="F51" s="8"/>
      <c r="G51" s="8"/>
    </row>
    <row r="52" spans="1:7" ht="12.9" thickBot="1" x14ac:dyDescent="0.35">
      <c r="A52" s="31" t="s">
        <v>78</v>
      </c>
      <c r="B52" s="34">
        <v>10</v>
      </c>
      <c r="C52" s="31"/>
      <c r="D52" s="57"/>
    </row>
    <row r="53" spans="1:7" ht="21.75" customHeight="1" thickTop="1" x14ac:dyDescent="0.3"/>
    <row r="54" spans="1:7" ht="21.75" customHeight="1" x14ac:dyDescent="0.3">
      <c r="A54" s="1" t="s">
        <v>58</v>
      </c>
    </row>
    <row r="55" spans="1:7" x14ac:dyDescent="0.3">
      <c r="A55" s="2" t="s">
        <v>34</v>
      </c>
      <c r="C55" s="31" t="s">
        <v>80</v>
      </c>
      <c r="D55" s="29"/>
      <c r="E55" s="31" t="s">
        <v>82</v>
      </c>
      <c r="F55" s="31"/>
    </row>
    <row r="56" spans="1:7" x14ac:dyDescent="0.3">
      <c r="A56" s="2" t="s">
        <v>35</v>
      </c>
    </row>
    <row r="57" spans="1:7" x14ac:dyDescent="0.3">
      <c r="A57" s="2" t="s">
        <v>36</v>
      </c>
    </row>
    <row r="58" spans="1:7" ht="21.75" customHeight="1" x14ac:dyDescent="0.3"/>
    <row r="59" spans="1:7" x14ac:dyDescent="0.3">
      <c r="A59" s="19"/>
      <c r="B59" s="74" t="s">
        <v>62</v>
      </c>
      <c r="C59" s="74"/>
      <c r="D59" s="11"/>
    </row>
    <row r="60" spans="1:7" x14ac:dyDescent="0.3">
      <c r="A60" s="31" t="s">
        <v>81</v>
      </c>
      <c r="B60" s="30">
        <v>40</v>
      </c>
      <c r="C60" s="31" t="s">
        <v>65</v>
      </c>
      <c r="D60" s="55">
        <v>200</v>
      </c>
    </row>
    <row r="61" spans="1:7" x14ac:dyDescent="0.3">
      <c r="A61" s="31"/>
      <c r="B61" s="58"/>
      <c r="C61" s="31"/>
      <c r="D61" s="59"/>
    </row>
    <row r="62" spans="1:7" ht="12.9" thickBot="1" x14ac:dyDescent="0.35">
      <c r="A62" s="31"/>
      <c r="B62" s="35"/>
      <c r="C62" s="31"/>
      <c r="D62" s="56"/>
    </row>
    <row r="63" spans="1:7" ht="21.75" customHeight="1" thickTop="1" x14ac:dyDescent="0.3"/>
    <row r="64" spans="1:7" ht="21.75" customHeight="1" x14ac:dyDescent="0.3">
      <c r="A64" s="2" t="s">
        <v>45</v>
      </c>
    </row>
    <row r="66" spans="1:7" x14ac:dyDescent="0.3">
      <c r="A66" s="19"/>
      <c r="B66" s="74" t="s">
        <v>63</v>
      </c>
      <c r="C66" s="74"/>
      <c r="D66" s="11"/>
    </row>
    <row r="67" spans="1:7" ht="12.9" thickBot="1" x14ac:dyDescent="0.35">
      <c r="A67" s="31" t="s">
        <v>65</v>
      </c>
      <c r="B67" s="60">
        <v>600</v>
      </c>
      <c r="C67" s="31"/>
      <c r="D67" s="56"/>
    </row>
    <row r="68" spans="1:7" ht="21.75" customHeight="1" thickTop="1" x14ac:dyDescent="0.3"/>
    <row r="69" spans="1:7" x14ac:dyDescent="0.3">
      <c r="A69" s="19"/>
      <c r="B69" s="74" t="s">
        <v>5</v>
      </c>
      <c r="C69" s="74"/>
      <c r="D69" s="11"/>
    </row>
    <row r="70" spans="1:7" x14ac:dyDescent="0.3">
      <c r="A70" s="31" t="s">
        <v>65</v>
      </c>
      <c r="B70" s="61">
        <v>40</v>
      </c>
      <c r="C70" s="36" t="s">
        <v>86</v>
      </c>
      <c r="D70" s="29">
        <v>12</v>
      </c>
      <c r="E70" s="2" t="s">
        <v>87</v>
      </c>
    </row>
    <row r="71" spans="1:7" x14ac:dyDescent="0.3">
      <c r="A71" s="31"/>
      <c r="B71" s="62"/>
      <c r="C71" s="63"/>
      <c r="D71" s="59"/>
    </row>
    <row r="72" spans="1:7" ht="12.9" thickBot="1" x14ac:dyDescent="0.35">
      <c r="A72" s="31"/>
      <c r="B72" s="64"/>
      <c r="C72" s="63"/>
      <c r="D72" s="57"/>
    </row>
    <row r="73" spans="1:7" ht="29.25" customHeight="1" thickTop="1" x14ac:dyDescent="0.3">
      <c r="A73" s="19"/>
      <c r="B73" s="74" t="s">
        <v>6</v>
      </c>
      <c r="C73" s="74"/>
      <c r="D73" s="11"/>
    </row>
    <row r="74" spans="1:7" x14ac:dyDescent="0.3">
      <c r="A74" s="31"/>
      <c r="B74" s="61"/>
      <c r="C74" s="36" t="s">
        <v>65</v>
      </c>
      <c r="D74" s="55">
        <v>490</v>
      </c>
    </row>
    <row r="75" spans="1:7" x14ac:dyDescent="0.3">
      <c r="A75" s="31"/>
      <c r="B75" s="58"/>
      <c r="C75" s="36"/>
      <c r="D75" s="59"/>
    </row>
    <row r="76" spans="1:7" ht="12.9" thickBot="1" x14ac:dyDescent="0.35">
      <c r="A76" s="31"/>
      <c r="B76" s="65"/>
      <c r="C76" s="36"/>
      <c r="D76" s="56"/>
    </row>
    <row r="77" spans="1:7" ht="21.75" customHeight="1" thickTop="1" x14ac:dyDescent="0.3">
      <c r="B77" s="3"/>
      <c r="C77" s="3"/>
    </row>
    <row r="78" spans="1:7" x14ac:dyDescent="0.3">
      <c r="A78" s="33"/>
      <c r="B78" s="75" t="s">
        <v>40</v>
      </c>
      <c r="C78" s="75"/>
      <c r="D78" s="59"/>
      <c r="F78" s="68" t="s">
        <v>41</v>
      </c>
      <c r="G78" s="67"/>
    </row>
    <row r="79" spans="1:7" ht="12.9" thickBot="1" x14ac:dyDescent="0.35">
      <c r="A79" s="31" t="s">
        <v>86</v>
      </c>
      <c r="B79" s="66">
        <v>28</v>
      </c>
      <c r="C79" s="36"/>
      <c r="D79" s="57"/>
    </row>
    <row r="80" spans="1:7" ht="22.5" customHeight="1" thickTop="1" x14ac:dyDescent="0.3">
      <c r="B80" s="3"/>
      <c r="C80" s="3"/>
    </row>
    <row r="81" spans="1:7" x14ac:dyDescent="0.3">
      <c r="A81" s="33"/>
      <c r="B81" s="75" t="s">
        <v>51</v>
      </c>
      <c r="C81" s="75"/>
      <c r="D81" s="59"/>
      <c r="F81" s="68" t="s">
        <v>41</v>
      </c>
      <c r="G81" s="28"/>
    </row>
    <row r="82" spans="1:7" ht="12.9" thickBot="1" x14ac:dyDescent="0.35">
      <c r="A82" s="31"/>
      <c r="B82" s="61"/>
      <c r="C82" s="36"/>
      <c r="D82" s="57"/>
    </row>
    <row r="83" spans="1:7" ht="21.75" customHeight="1" thickTop="1" x14ac:dyDescent="0.3">
      <c r="B83" s="3"/>
      <c r="C83" s="3"/>
    </row>
    <row r="84" spans="1:7" ht="21.75" customHeight="1" x14ac:dyDescent="0.3">
      <c r="A84" s="2" t="s">
        <v>55</v>
      </c>
      <c r="B84" s="3"/>
      <c r="C84" s="3"/>
    </row>
    <row r="85" spans="1:7" x14ac:dyDescent="0.3">
      <c r="A85" s="2" t="s">
        <v>52</v>
      </c>
      <c r="B85" s="3"/>
      <c r="C85" s="36" t="s">
        <v>83</v>
      </c>
      <c r="D85" s="37"/>
      <c r="E85" s="36"/>
      <c r="F85" s="31"/>
    </row>
    <row r="86" spans="1:7" x14ac:dyDescent="0.3">
      <c r="A86" s="2" t="s">
        <v>43</v>
      </c>
      <c r="B86" s="3"/>
      <c r="C86" s="3"/>
    </row>
    <row r="87" spans="1:7" x14ac:dyDescent="0.3">
      <c r="A87" s="2" t="s">
        <v>44</v>
      </c>
      <c r="B87" s="3"/>
      <c r="C87" s="3"/>
    </row>
    <row r="88" spans="1:7" ht="21.75" customHeight="1" x14ac:dyDescent="0.3">
      <c r="B88" s="3"/>
      <c r="C88" s="3"/>
    </row>
    <row r="89" spans="1:7" x14ac:dyDescent="0.3">
      <c r="A89" s="33"/>
      <c r="B89" s="75" t="s">
        <v>64</v>
      </c>
      <c r="C89" s="75"/>
      <c r="D89" s="59"/>
      <c r="F89" s="28" t="s">
        <v>41</v>
      </c>
      <c r="G89" s="28"/>
    </row>
    <row r="90" spans="1:7" ht="12.9" thickBot="1" x14ac:dyDescent="0.35">
      <c r="A90" s="31"/>
      <c r="B90" s="65"/>
      <c r="C90" s="36" t="s">
        <v>85</v>
      </c>
      <c r="D90" s="56">
        <v>115</v>
      </c>
    </row>
    <row r="91" spans="1:7" ht="21.75" customHeight="1" thickTop="1" x14ac:dyDescent="0.3">
      <c r="B91" s="3"/>
      <c r="C91" s="3"/>
    </row>
    <row r="92" spans="1:7" ht="18" customHeight="1" x14ac:dyDescent="0.3">
      <c r="A92" s="2" t="s">
        <v>3</v>
      </c>
      <c r="D92" s="2"/>
    </row>
    <row r="93" spans="1:7" ht="18" customHeight="1" x14ac:dyDescent="0.3">
      <c r="A93" s="2" t="s">
        <v>53</v>
      </c>
      <c r="D93" s="2"/>
    </row>
    <row r="94" spans="1:7" ht="18" customHeight="1" x14ac:dyDescent="0.3">
      <c r="A94" s="2" t="s">
        <v>42</v>
      </c>
      <c r="D94" s="2"/>
    </row>
    <row r="95" spans="1:7" ht="18" customHeight="1" x14ac:dyDescent="0.3">
      <c r="A95" s="2" t="s">
        <v>54</v>
      </c>
      <c r="D95" s="2"/>
    </row>
    <row r="96" spans="1:7" ht="18" customHeight="1" x14ac:dyDescent="0.3">
      <c r="A96" s="2" t="s">
        <v>56</v>
      </c>
      <c r="D96" s="2"/>
    </row>
    <row r="97" spans="1:6" ht="18" customHeight="1" x14ac:dyDescent="0.3">
      <c r="A97" s="2" t="s">
        <v>57</v>
      </c>
      <c r="D97" s="2"/>
    </row>
    <row r="98" spans="1:6" ht="18" customHeight="1" x14ac:dyDescent="0.3"/>
    <row r="99" spans="1:6" ht="18" customHeight="1" x14ac:dyDescent="0.3">
      <c r="A99" s="72" t="s">
        <v>0</v>
      </c>
      <c r="B99" s="76" t="s">
        <v>47</v>
      </c>
      <c r="C99" s="76"/>
      <c r="D99" s="76"/>
      <c r="E99" s="33"/>
      <c r="F99" s="72" t="s">
        <v>1</v>
      </c>
    </row>
    <row r="100" spans="1:6" ht="18" customHeight="1" x14ac:dyDescent="0.3">
      <c r="A100" s="29"/>
      <c r="B100" s="31" t="s">
        <v>9</v>
      </c>
      <c r="C100" s="69">
        <v>5</v>
      </c>
      <c r="D100" s="29"/>
      <c r="E100" s="31"/>
      <c r="F100" s="55"/>
    </row>
    <row r="101" spans="1:6" ht="18" customHeight="1" x14ac:dyDescent="0.3">
      <c r="A101" s="29"/>
      <c r="B101" s="31"/>
      <c r="C101" s="70"/>
      <c r="D101" s="29"/>
      <c r="E101" s="31"/>
      <c r="F101" s="55"/>
    </row>
    <row r="102" spans="1:6" ht="18" customHeight="1" x14ac:dyDescent="0.3">
      <c r="A102" s="29"/>
      <c r="B102" s="31"/>
      <c r="C102" s="70"/>
      <c r="D102" s="29"/>
      <c r="E102" s="31"/>
      <c r="F102" s="31"/>
    </row>
    <row r="103" spans="1:6" ht="18" customHeight="1" x14ac:dyDescent="0.3">
      <c r="A103" s="29"/>
      <c r="B103" s="31"/>
      <c r="C103" s="58"/>
      <c r="D103" s="29"/>
      <c r="E103" s="31"/>
      <c r="F103" s="31"/>
    </row>
    <row r="104" spans="1:6" ht="18" customHeight="1" thickBot="1" x14ac:dyDescent="0.35">
      <c r="A104" s="31"/>
      <c r="B104" s="31"/>
      <c r="C104" s="60"/>
      <c r="D104" s="71"/>
      <c r="E104" s="31"/>
      <c r="F104" s="54"/>
    </row>
    <row r="105" spans="1:6" ht="18" customHeight="1" thickTop="1" x14ac:dyDescent="0.3"/>
    <row r="106" spans="1:6" ht="18" customHeight="1" x14ac:dyDescent="0.3">
      <c r="A106" s="72" t="s">
        <v>31</v>
      </c>
      <c r="B106" s="76" t="s">
        <v>4</v>
      </c>
      <c r="C106" s="76"/>
      <c r="D106" s="76"/>
      <c r="E106" s="33"/>
      <c r="F106" s="72" t="s">
        <v>32</v>
      </c>
    </row>
    <row r="107" spans="1:6" ht="18" customHeight="1" x14ac:dyDescent="0.3">
      <c r="A107" s="31"/>
      <c r="B107" s="31"/>
      <c r="C107" s="30"/>
      <c r="D107" s="29"/>
      <c r="E107" s="31"/>
      <c r="F107" s="55"/>
    </row>
    <row r="108" spans="1:6" ht="18" customHeight="1" x14ac:dyDescent="0.3">
      <c r="A108" s="31"/>
      <c r="B108" s="31"/>
      <c r="C108" s="70"/>
      <c r="D108" s="29"/>
      <c r="E108" s="31"/>
      <c r="F108" s="31"/>
    </row>
    <row r="109" spans="1:6" ht="18" customHeight="1" x14ac:dyDescent="0.3">
      <c r="A109" s="31"/>
      <c r="B109" s="31"/>
      <c r="C109" s="58"/>
      <c r="D109" s="29"/>
      <c r="E109" s="31"/>
      <c r="F109" s="31"/>
    </row>
    <row r="110" spans="1:6" ht="18" customHeight="1" thickBot="1" x14ac:dyDescent="0.35">
      <c r="A110" s="31"/>
      <c r="B110" s="31"/>
      <c r="C110" s="60"/>
      <c r="D110" s="71"/>
      <c r="E110" s="31"/>
      <c r="F110" s="54"/>
    </row>
    <row r="111" spans="1:6" ht="18" customHeight="1" thickTop="1" x14ac:dyDescent="0.3"/>
  </sheetData>
  <mergeCells count="13">
    <mergeCell ref="B89:C89"/>
    <mergeCell ref="B99:D99"/>
    <mergeCell ref="B106:D106"/>
    <mergeCell ref="B66:C66"/>
    <mergeCell ref="B69:C69"/>
    <mergeCell ref="B73:C73"/>
    <mergeCell ref="B78:C78"/>
    <mergeCell ref="B81:C81"/>
    <mergeCell ref="B6:D6"/>
    <mergeCell ref="E33:F33"/>
    <mergeCell ref="B45:C45"/>
    <mergeCell ref="B51:C51"/>
    <mergeCell ref="B59:C59"/>
  </mergeCells>
  <phoneticPr fontId="0" type="noConversion"/>
  <pageMargins left="0.43" right="0.37" top="1" bottom="1" header="0.4921259845" footer="0.4921259845"/>
  <pageSetup paperSize="9" orientation="portrait" r:id="rId1"/>
  <headerFooter alignWithMargins="0">
    <oddHeader>&amp;RFH Hagenberg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609375" defaultRowHeight="12.45" x14ac:dyDescent="0.3"/>
  <sheetData/>
  <phoneticPr fontId="0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609375" defaultRowHeight="12.45" x14ac:dyDescent="0.3"/>
  <sheetData/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Software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</dc:creator>
  <cp:lastModifiedBy>Danner Klemens - s2510307051</cp:lastModifiedBy>
  <cp:lastPrinted>2019-10-22T07:43:05Z</cp:lastPrinted>
  <dcterms:created xsi:type="dcterms:W3CDTF">1999-03-17T09:53:23Z</dcterms:created>
  <dcterms:modified xsi:type="dcterms:W3CDTF">2025-11-03T13:58:13Z</dcterms:modified>
</cp:coreProperties>
</file>
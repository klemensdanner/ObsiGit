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ine Ablage\Obsidian Vault\BWL\Übung\Aufträge\UE09\"/>
    </mc:Choice>
  </mc:AlternateContent>
  <xr:revisionPtr revIDLastSave="0" documentId="13_ncr:1_{C7421CB6-61ED-463C-9CAD-D7B1544FD0DA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F58" i="1"/>
  <c r="C26" i="1"/>
  <c r="F27" i="1"/>
  <c r="F20" i="1"/>
  <c r="C21" i="1"/>
  <c r="F32" i="1"/>
  <c r="C52" i="1"/>
  <c r="F14" i="1"/>
  <c r="F13" i="1"/>
  <c r="F10" i="1" l="1"/>
  <c r="C10" i="1"/>
  <c r="F5" i="1"/>
  <c r="C5" i="1"/>
</calcChain>
</file>

<file path=xl/sharedStrings.xml><?xml version="1.0" encoding="utf-8"?>
<sst xmlns="http://schemas.openxmlformats.org/spreadsheetml/2006/main" count="102" uniqueCount="28">
  <si>
    <t>1.1.</t>
  </si>
  <si>
    <t>EBK</t>
  </si>
  <si>
    <t>Kassa</t>
  </si>
  <si>
    <t>Erfolgskonto</t>
  </si>
  <si>
    <t>Ust-Zahllast</t>
  </si>
  <si>
    <t>GuV</t>
  </si>
  <si>
    <t>SBK</t>
  </si>
  <si>
    <t>Eigenkapital</t>
  </si>
  <si>
    <t>Handelsware</t>
  </si>
  <si>
    <t>Eröffnungsbilanz zum 1.1.20..</t>
  </si>
  <si>
    <t>Eröffnungsbilanzkonto</t>
  </si>
  <si>
    <t>Aktiva</t>
  </si>
  <si>
    <t>Passiva</t>
  </si>
  <si>
    <t>31.1.</t>
  </si>
  <si>
    <t>Vorsteuer (VSt)</t>
  </si>
  <si>
    <t>Umsatzsteuer (Ust)</t>
  </si>
  <si>
    <t>4.1.</t>
  </si>
  <si>
    <t>Umsatzerlöse + Ust</t>
  </si>
  <si>
    <t>Umsatzerlöse Handelswaren</t>
  </si>
  <si>
    <t>15.1.</t>
  </si>
  <si>
    <t>Mietaufwand</t>
  </si>
  <si>
    <t>26.1.</t>
  </si>
  <si>
    <t>Mietaufwand + Vst</t>
  </si>
  <si>
    <t>Ust</t>
  </si>
  <si>
    <t>Vorsteuer</t>
  </si>
  <si>
    <t>Umsatzerlöse Handelsw</t>
  </si>
  <si>
    <t>Wareneinsatz</t>
  </si>
  <si>
    <t>Handeslware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</si>
</sst>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name val="Arial"/>
    </font>
    <font>
      <sz val="10"/>
      <name val="Arial"/>
    </font>
    <font>
      <sz val="9"/>
      <name val="Arial"/>
    </font>
    <font>
      <sz val="8"/>
      <name val="Arial"/>
    </font>
    <font>
      <sz val="9"/>
      <name val="Arial"/>
      <family val="2"/>
    </font>
    <font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43" fontId="2" fillId="0" borderId="2" xfId="1" applyFont="1" applyFill="1" applyBorder="1"/>
    <xf numFmtId="43" fontId="2" fillId="0" borderId="0" xfId="1" applyFont="1" applyFill="1"/>
    <xf numFmtId="43" fontId="2" fillId="0" borderId="4" xfId="1" applyFont="1" applyFill="1" applyBorder="1"/>
    <xf numFmtId="16" fontId="2" fillId="0" borderId="0" xfId="0" applyNumberFormat="1" applyFont="1"/>
    <xf numFmtId="43" fontId="2" fillId="0" borderId="1" xfId="1" applyFont="1" applyFill="1" applyBorder="1"/>
    <xf numFmtId="43" fontId="2" fillId="0" borderId="5" xfId="0" applyNumberFormat="1" applyFont="1" applyBorder="1"/>
    <xf numFmtId="43" fontId="2" fillId="0" borderId="6" xfId="0" applyNumberFormat="1" applyFont="1" applyBorder="1"/>
    <xf numFmtId="43" fontId="2" fillId="0" borderId="0" xfId="0" applyNumberFormat="1" applyFont="1"/>
    <xf numFmtId="0" fontId="2" fillId="0" borderId="3" xfId="0" applyFont="1" applyBorder="1"/>
    <xf numFmtId="43" fontId="2" fillId="0" borderId="3" xfId="1" applyFont="1" applyFill="1" applyBorder="1"/>
    <xf numFmtId="0" fontId="4" fillId="0" borderId="0" xfId="0" applyFont="1"/>
    <xf numFmtId="43" fontId="2" fillId="0" borderId="0" xfId="1" applyFont="1" applyFill="1" applyBorder="1"/>
    <xf numFmtId="43" fontId="4" fillId="0" borderId="3" xfId="1" applyFont="1" applyFill="1" applyBorder="1"/>
    <xf numFmtId="0" fontId="2" fillId="0" borderId="0" xfId="0" quotePrefix="1" applyFont="1"/>
    <xf numFmtId="0" fontId="5" fillId="0" borderId="0" xfId="0" applyFont="1"/>
    <xf numFmtId="43" fontId="4" fillId="0" borderId="6" xfId="1" applyFont="1" applyFill="1" applyBorder="1"/>
    <xf numFmtId="43" fontId="4" fillId="0" borderId="0" xfId="1" applyFont="1" applyFill="1" applyBorder="1"/>
    <xf numFmtId="43" fontId="4" fillId="0" borderId="5" xfId="1" applyFont="1" applyFill="1" applyBorder="1"/>
    <xf numFmtId="43" fontId="4" fillId="0" borderId="1" xfId="1" applyFont="1" applyFill="1" applyBorder="1"/>
    <xf numFmtId="43" fontId="4" fillId="0" borderId="0" xfId="1" applyFont="1" applyFill="1"/>
    <xf numFmtId="43" fontId="4" fillId="0" borderId="2" xfId="1" applyFont="1" applyFill="1" applyBorder="1"/>
    <xf numFmtId="43" fontId="4" fillId="0" borderId="5" xfId="0" applyNumberFormat="1" applyFont="1" applyBorder="1"/>
    <xf numFmtId="43" fontId="4" fillId="0" borderId="6" xfId="0" applyNumberFormat="1" applyFont="1" applyBorder="1"/>
    <xf numFmtId="43" fontId="4" fillId="0" borderId="0" xfId="0" applyNumberFormat="1" applyFont="1"/>
    <xf numFmtId="43" fontId="4" fillId="0" borderId="4" xfId="1" applyFont="1" applyFill="1" applyBorder="1"/>
    <xf numFmtId="0" fontId="4" fillId="0" borderId="1" xfId="0" applyFont="1" applyBorder="1"/>
    <xf numFmtId="43" fontId="4" fillId="0" borderId="4" xfId="0" applyNumberFormat="1" applyFont="1" applyBorder="1"/>
    <xf numFmtId="43" fontId="4" fillId="0" borderId="1" xfId="0" applyNumberFormat="1" applyFont="1" applyBorder="1"/>
    <xf numFmtId="16" fontId="4" fillId="0" borderId="0" xfId="0" applyNumberFormat="1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topLeftCell="A29" zoomScale="130" zoomScaleNormal="85" workbookViewId="0">
      <selection activeCell="H52" sqref="H52"/>
    </sheetView>
  </sheetViews>
  <sheetFormatPr baseColWidth="10" defaultColWidth="11.4609375" defaultRowHeight="11.6" x14ac:dyDescent="0.3"/>
  <cols>
    <col min="1" max="1" width="5.84375" style="1" customWidth="1"/>
    <col min="2" max="2" width="17.69140625" style="1" customWidth="1"/>
    <col min="3" max="3" width="11.4609375" style="1"/>
    <col min="4" max="4" width="6" style="1" customWidth="1"/>
    <col min="5" max="5" width="17.69140625" style="1" customWidth="1"/>
    <col min="6" max="16384" width="11.4609375" style="1"/>
  </cols>
  <sheetData>
    <row r="1" spans="1:8" x14ac:dyDescent="0.3">
      <c r="A1" s="1" t="s">
        <v>11</v>
      </c>
      <c r="F1" s="1" t="s">
        <v>12</v>
      </c>
      <c r="H1" s="12"/>
    </row>
    <row r="2" spans="1:8" x14ac:dyDescent="0.3">
      <c r="A2" s="32" t="s">
        <v>9</v>
      </c>
      <c r="B2" s="32"/>
      <c r="C2" s="32"/>
      <c r="D2" s="32"/>
      <c r="E2" s="32"/>
      <c r="F2" s="32"/>
    </row>
    <row r="3" spans="1:8" x14ac:dyDescent="0.3">
      <c r="A3" s="1" t="s">
        <v>0</v>
      </c>
      <c r="B3" s="1" t="s">
        <v>8</v>
      </c>
      <c r="C3" s="2">
        <v>36000</v>
      </c>
      <c r="D3" s="1" t="s">
        <v>0</v>
      </c>
      <c r="E3" s="1" t="s">
        <v>4</v>
      </c>
      <c r="F3" s="3">
        <v>4600</v>
      </c>
    </row>
    <row r="4" spans="1:8" x14ac:dyDescent="0.3">
      <c r="A4" s="1" t="s">
        <v>0</v>
      </c>
      <c r="B4" s="1" t="s">
        <v>2</v>
      </c>
      <c r="C4" s="4">
        <v>4000</v>
      </c>
      <c r="D4" s="5" t="s">
        <v>0</v>
      </c>
      <c r="E4" s="1" t="s">
        <v>7</v>
      </c>
      <c r="F4" s="6">
        <v>35400</v>
      </c>
    </row>
    <row r="5" spans="1:8" ht="12" thickBot="1" x14ac:dyDescent="0.35">
      <c r="C5" s="7">
        <f>SUM(C3:C4)</f>
        <v>40000</v>
      </c>
      <c r="F5" s="8">
        <f>SUM(F3:F4)</f>
        <v>40000</v>
      </c>
    </row>
    <row r="6" spans="1:8" ht="12" thickTop="1" x14ac:dyDescent="0.3">
      <c r="C6" s="9"/>
      <c r="F6" s="9"/>
    </row>
    <row r="7" spans="1:8" x14ac:dyDescent="0.3">
      <c r="A7" s="32" t="s">
        <v>10</v>
      </c>
      <c r="B7" s="32"/>
      <c r="C7" s="32"/>
      <c r="D7" s="32"/>
      <c r="E7" s="32"/>
      <c r="F7" s="32"/>
    </row>
    <row r="8" spans="1:8" x14ac:dyDescent="0.3">
      <c r="A8" s="1" t="s">
        <v>0</v>
      </c>
      <c r="B8" s="1" t="s">
        <v>4</v>
      </c>
      <c r="C8" s="2">
        <v>4600</v>
      </c>
      <c r="D8" s="1" t="s">
        <v>0</v>
      </c>
      <c r="E8" s="1" t="s">
        <v>8</v>
      </c>
      <c r="F8" s="3">
        <v>36000</v>
      </c>
    </row>
    <row r="9" spans="1:8" x14ac:dyDescent="0.3">
      <c r="A9" s="1" t="s">
        <v>0</v>
      </c>
      <c r="B9" s="1" t="s">
        <v>7</v>
      </c>
      <c r="C9" s="4">
        <v>35400</v>
      </c>
      <c r="D9" s="1" t="s">
        <v>0</v>
      </c>
      <c r="E9" s="1" t="s">
        <v>2</v>
      </c>
      <c r="F9" s="6">
        <v>4000</v>
      </c>
    </row>
    <row r="10" spans="1:8" ht="12" thickBot="1" x14ac:dyDescent="0.35">
      <c r="C10" s="7">
        <f>SUM(C8:C9)</f>
        <v>40000</v>
      </c>
      <c r="F10" s="8">
        <f>SUM(F8:F9)</f>
        <v>40000</v>
      </c>
    </row>
    <row r="11" spans="1:8" ht="12" thickTop="1" x14ac:dyDescent="0.3"/>
    <row r="12" spans="1:8" x14ac:dyDescent="0.3">
      <c r="A12" s="32" t="s">
        <v>8</v>
      </c>
      <c r="B12" s="32"/>
      <c r="C12" s="32"/>
      <c r="D12" s="32"/>
      <c r="E12" s="32"/>
      <c r="F12" s="32"/>
    </row>
    <row r="13" spans="1:8" x14ac:dyDescent="0.3">
      <c r="A13" s="1" t="s">
        <v>0</v>
      </c>
      <c r="B13" s="1" t="s">
        <v>1</v>
      </c>
      <c r="C13" s="2">
        <v>36000</v>
      </c>
      <c r="D13" s="30" t="s">
        <v>13</v>
      </c>
      <c r="E13" s="12" t="s">
        <v>26</v>
      </c>
      <c r="F13" s="21">
        <f>36000-33190</f>
        <v>2810</v>
      </c>
      <c r="G13" s="12"/>
    </row>
    <row r="14" spans="1:8" x14ac:dyDescent="0.3">
      <c r="C14" s="4"/>
      <c r="D14" s="12" t="s">
        <v>13</v>
      </c>
      <c r="E14" s="12" t="s">
        <v>6</v>
      </c>
      <c r="F14" s="20">
        <f>F15-F13</f>
        <v>33190</v>
      </c>
      <c r="H14" s="15"/>
    </row>
    <row r="15" spans="1:8" ht="12" thickBot="1" x14ac:dyDescent="0.35">
      <c r="C15" s="23">
        <v>36000</v>
      </c>
      <c r="D15" s="16"/>
      <c r="E15" s="16"/>
      <c r="F15" s="24">
        <v>36000</v>
      </c>
    </row>
    <row r="16" spans="1:8" ht="12" thickTop="1" x14ac:dyDescent="0.3"/>
    <row r="17" spans="1:6" x14ac:dyDescent="0.3">
      <c r="A17" s="32" t="s">
        <v>2</v>
      </c>
      <c r="B17" s="32"/>
      <c r="C17" s="32"/>
      <c r="D17" s="32"/>
      <c r="E17" s="32"/>
      <c r="F17" s="32"/>
    </row>
    <row r="18" spans="1:6" x14ac:dyDescent="0.3">
      <c r="A18" s="12" t="s">
        <v>0</v>
      </c>
      <c r="B18" s="12" t="s">
        <v>1</v>
      </c>
      <c r="C18" s="14">
        <v>4000</v>
      </c>
      <c r="D18" s="12" t="s">
        <v>19</v>
      </c>
      <c r="E18" s="12" t="s">
        <v>4</v>
      </c>
      <c r="F18" s="18">
        <v>1730</v>
      </c>
    </row>
    <row r="19" spans="1:6" x14ac:dyDescent="0.3">
      <c r="A19" s="12" t="s">
        <v>16</v>
      </c>
      <c r="B19" s="12" t="s">
        <v>17</v>
      </c>
      <c r="C19" s="14">
        <v>6720</v>
      </c>
      <c r="D19" s="12" t="s">
        <v>21</v>
      </c>
      <c r="E19" s="12" t="s">
        <v>22</v>
      </c>
      <c r="F19" s="18">
        <v>684</v>
      </c>
    </row>
    <row r="20" spans="1:6" x14ac:dyDescent="0.3">
      <c r="A20" s="12"/>
      <c r="B20" s="12"/>
      <c r="C20" s="11"/>
      <c r="D20" s="12" t="s">
        <v>13</v>
      </c>
      <c r="E20" s="12" t="s">
        <v>6</v>
      </c>
      <c r="F20" s="18">
        <f>F21-F19-F18</f>
        <v>8306</v>
      </c>
    </row>
    <row r="21" spans="1:6" ht="12" thickBot="1" x14ac:dyDescent="0.35">
      <c r="C21" s="23">
        <f>C18+C19</f>
        <v>10720</v>
      </c>
      <c r="F21" s="24">
        <v>10720</v>
      </c>
    </row>
    <row r="22" spans="1:6" ht="12" thickTop="1" x14ac:dyDescent="0.3">
      <c r="C22" s="9"/>
      <c r="F22" s="9"/>
    </row>
    <row r="23" spans="1:6" x14ac:dyDescent="0.3">
      <c r="A23" s="32" t="s">
        <v>4</v>
      </c>
      <c r="B23" s="32"/>
      <c r="C23" s="32"/>
      <c r="D23" s="32"/>
      <c r="E23" s="32"/>
      <c r="F23" s="32"/>
    </row>
    <row r="24" spans="1:6" x14ac:dyDescent="0.3">
      <c r="A24" s="12" t="s">
        <v>19</v>
      </c>
      <c r="B24" s="12" t="s">
        <v>2</v>
      </c>
      <c r="C24" s="14">
        <v>1730</v>
      </c>
      <c r="D24" s="1" t="s">
        <v>0</v>
      </c>
      <c r="E24" s="1" t="s">
        <v>1</v>
      </c>
      <c r="F24" s="13">
        <v>4600</v>
      </c>
    </row>
    <row r="25" spans="1:6" x14ac:dyDescent="0.3">
      <c r="A25" s="12" t="s">
        <v>13</v>
      </c>
      <c r="B25" s="12" t="s">
        <v>24</v>
      </c>
      <c r="C25" s="14">
        <v>114</v>
      </c>
      <c r="D25" s="12" t="s">
        <v>13</v>
      </c>
      <c r="E25" s="12" t="s">
        <v>23</v>
      </c>
      <c r="F25" s="13">
        <v>1120</v>
      </c>
    </row>
    <row r="26" spans="1:6" x14ac:dyDescent="0.3">
      <c r="A26" s="12" t="s">
        <v>13</v>
      </c>
      <c r="B26" s="12" t="s">
        <v>6</v>
      </c>
      <c r="C26" s="26">
        <f>C27-C25-C24</f>
        <v>3876</v>
      </c>
      <c r="E26" s="12"/>
      <c r="F26" s="9"/>
    </row>
    <row r="27" spans="1:6" ht="12" thickBot="1" x14ac:dyDescent="0.35">
      <c r="C27" s="24">
        <v>5720</v>
      </c>
      <c r="F27" s="24">
        <f>F24+F25</f>
        <v>5720</v>
      </c>
    </row>
    <row r="28" spans="1:6" ht="12" thickTop="1" x14ac:dyDescent="0.3">
      <c r="C28" s="9"/>
      <c r="F28" s="9"/>
    </row>
    <row r="29" spans="1:6" x14ac:dyDescent="0.3">
      <c r="A29" s="31" t="s">
        <v>7</v>
      </c>
      <c r="B29" s="32"/>
      <c r="C29" s="32"/>
      <c r="D29" s="32"/>
      <c r="E29" s="32"/>
      <c r="F29" s="32"/>
    </row>
    <row r="30" spans="1:6" x14ac:dyDescent="0.3">
      <c r="A30" s="12" t="s">
        <v>13</v>
      </c>
      <c r="B30" s="12" t="s">
        <v>6</v>
      </c>
      <c r="C30" s="22">
        <v>37620</v>
      </c>
      <c r="D30" s="12" t="s">
        <v>0</v>
      </c>
      <c r="E30" s="12" t="s">
        <v>1</v>
      </c>
      <c r="F30" s="3">
        <v>35400</v>
      </c>
    </row>
    <row r="31" spans="1:6" x14ac:dyDescent="0.3">
      <c r="A31" s="12"/>
      <c r="B31" s="12"/>
      <c r="C31" s="26"/>
      <c r="D31" s="12" t="s">
        <v>13</v>
      </c>
      <c r="E31" s="12" t="s">
        <v>5</v>
      </c>
      <c r="F31" s="20">
        <v>2220</v>
      </c>
    </row>
    <row r="32" spans="1:6" ht="12" thickBot="1" x14ac:dyDescent="0.35">
      <c r="A32" s="12"/>
      <c r="B32" s="12"/>
      <c r="C32" s="23">
        <v>37620</v>
      </c>
      <c r="F32" s="24">
        <f>F30+F31</f>
        <v>37620</v>
      </c>
    </row>
    <row r="33" spans="1:7" ht="12" thickTop="1" x14ac:dyDescent="0.3">
      <c r="C33" s="9"/>
      <c r="F33" s="9"/>
    </row>
    <row r="34" spans="1:7" x14ac:dyDescent="0.3">
      <c r="A34" s="33" t="s">
        <v>18</v>
      </c>
      <c r="B34" s="33"/>
      <c r="C34" s="33"/>
      <c r="D34" s="33"/>
      <c r="E34" s="33"/>
      <c r="F34" s="33"/>
      <c r="G34" s="1" t="s">
        <v>3</v>
      </c>
    </row>
    <row r="35" spans="1:7" ht="12" thickBot="1" x14ac:dyDescent="0.35">
      <c r="A35" s="12" t="s">
        <v>13</v>
      </c>
      <c r="B35" s="12" t="s">
        <v>5</v>
      </c>
      <c r="C35" s="19">
        <v>5600</v>
      </c>
      <c r="D35" s="12" t="s">
        <v>16</v>
      </c>
      <c r="E35" s="12" t="s">
        <v>2</v>
      </c>
      <c r="F35" s="17">
        <v>5600</v>
      </c>
    </row>
    <row r="36" spans="1:7" ht="12" thickTop="1" x14ac:dyDescent="0.3"/>
    <row r="37" spans="1:7" x14ac:dyDescent="0.3">
      <c r="A37" s="33" t="s">
        <v>20</v>
      </c>
      <c r="B37" s="33"/>
      <c r="C37" s="33"/>
      <c r="D37" s="33"/>
      <c r="E37" s="33"/>
      <c r="F37" s="33"/>
      <c r="G37" s="1" t="s">
        <v>3</v>
      </c>
    </row>
    <row r="38" spans="1:7" ht="12" thickBot="1" x14ac:dyDescent="0.35">
      <c r="A38" s="12" t="s">
        <v>21</v>
      </c>
      <c r="B38" s="12" t="s">
        <v>2</v>
      </c>
      <c r="C38" s="19">
        <v>570</v>
      </c>
      <c r="D38" s="12" t="s">
        <v>13</v>
      </c>
      <c r="E38" s="12" t="s">
        <v>5</v>
      </c>
      <c r="F38" s="17">
        <v>570</v>
      </c>
    </row>
    <row r="39" spans="1:7" ht="12" thickTop="1" x14ac:dyDescent="0.3">
      <c r="C39" s="10"/>
    </row>
    <row r="40" spans="1:7" x14ac:dyDescent="0.3">
      <c r="A40" s="33" t="s">
        <v>26</v>
      </c>
      <c r="B40" s="33"/>
      <c r="C40" s="33"/>
      <c r="D40" s="33"/>
      <c r="E40" s="33"/>
      <c r="F40" s="33"/>
      <c r="G40" s="1" t="s">
        <v>3</v>
      </c>
    </row>
    <row r="41" spans="1:7" ht="12" thickBot="1" x14ac:dyDescent="0.35">
      <c r="A41" s="12" t="s">
        <v>13</v>
      </c>
      <c r="B41" s="12" t="s">
        <v>26</v>
      </c>
      <c r="C41" s="19">
        <v>2810</v>
      </c>
      <c r="D41" s="12" t="s">
        <v>13</v>
      </c>
      <c r="E41" s="12" t="s">
        <v>5</v>
      </c>
      <c r="F41" s="17">
        <v>2810</v>
      </c>
    </row>
    <row r="42" spans="1:7" ht="12" thickTop="1" x14ac:dyDescent="0.3"/>
    <row r="43" spans="1:7" x14ac:dyDescent="0.3">
      <c r="A43" s="31" t="s">
        <v>14</v>
      </c>
      <c r="B43" s="32"/>
      <c r="C43" s="32"/>
      <c r="D43" s="32"/>
      <c r="E43" s="32"/>
      <c r="F43" s="32"/>
    </row>
    <row r="44" spans="1:7" ht="12" thickBot="1" x14ac:dyDescent="0.35">
      <c r="A44" s="12" t="s">
        <v>21</v>
      </c>
      <c r="B44" s="12" t="s">
        <v>2</v>
      </c>
      <c r="C44" s="19">
        <v>114</v>
      </c>
      <c r="D44" s="12" t="s">
        <v>13</v>
      </c>
      <c r="E44" s="12" t="s">
        <v>4</v>
      </c>
      <c r="F44" s="17">
        <v>114</v>
      </c>
    </row>
    <row r="45" spans="1:7" ht="12" thickTop="1" x14ac:dyDescent="0.3"/>
    <row r="46" spans="1:7" x14ac:dyDescent="0.3">
      <c r="A46" s="31" t="s">
        <v>15</v>
      </c>
      <c r="B46" s="32"/>
      <c r="C46" s="32"/>
      <c r="D46" s="32"/>
      <c r="E46" s="32"/>
      <c r="F46" s="32"/>
    </row>
    <row r="47" spans="1:7" ht="12" thickBot="1" x14ac:dyDescent="0.35">
      <c r="A47" s="12" t="s">
        <v>13</v>
      </c>
      <c r="B47" s="12" t="s">
        <v>4</v>
      </c>
      <c r="C47" s="19">
        <v>1120</v>
      </c>
      <c r="D47" s="12" t="s">
        <v>16</v>
      </c>
      <c r="E47" s="12" t="s">
        <v>2</v>
      </c>
      <c r="F47" s="17">
        <v>1120</v>
      </c>
    </row>
    <row r="48" spans="1:7" ht="12" thickTop="1" x14ac:dyDescent="0.3"/>
    <row r="49" spans="1:6" x14ac:dyDescent="0.3">
      <c r="A49" s="32" t="s">
        <v>5</v>
      </c>
      <c r="B49" s="32"/>
      <c r="C49" s="32"/>
      <c r="D49" s="32"/>
      <c r="E49" s="32"/>
      <c r="F49" s="32"/>
    </row>
    <row r="50" spans="1:6" x14ac:dyDescent="0.3">
      <c r="A50" s="12" t="s">
        <v>13</v>
      </c>
      <c r="B50" s="12" t="s">
        <v>20</v>
      </c>
      <c r="C50" s="22">
        <v>570</v>
      </c>
      <c r="D50" s="12" t="s">
        <v>13</v>
      </c>
      <c r="E50" s="12" t="s">
        <v>25</v>
      </c>
      <c r="F50" s="25">
        <v>5600</v>
      </c>
    </row>
    <row r="51" spans="1:6" x14ac:dyDescent="0.3">
      <c r="A51" s="12" t="s">
        <v>13</v>
      </c>
      <c r="B51" s="12" t="s">
        <v>26</v>
      </c>
      <c r="C51" s="14">
        <v>2810</v>
      </c>
      <c r="D51" s="12"/>
      <c r="E51" s="12"/>
      <c r="F51" s="25"/>
    </row>
    <row r="52" spans="1:6" x14ac:dyDescent="0.3">
      <c r="A52" s="12" t="s">
        <v>13</v>
      </c>
      <c r="B52" s="12" t="s">
        <v>7</v>
      </c>
      <c r="C52" s="26">
        <f>C53-C51-C50</f>
        <v>2220</v>
      </c>
      <c r="D52" s="12"/>
      <c r="E52" s="12"/>
      <c r="F52" s="27"/>
    </row>
    <row r="53" spans="1:6" ht="12" thickBot="1" x14ac:dyDescent="0.35">
      <c r="A53" s="12"/>
      <c r="B53" s="12"/>
      <c r="C53" s="23">
        <v>5600</v>
      </c>
      <c r="D53" s="12"/>
      <c r="E53" s="12"/>
      <c r="F53" s="24">
        <v>5600</v>
      </c>
    </row>
    <row r="54" spans="1:6" ht="12" thickTop="1" x14ac:dyDescent="0.3"/>
    <row r="55" spans="1:6" x14ac:dyDescent="0.3">
      <c r="A55" s="31" t="s">
        <v>6</v>
      </c>
      <c r="B55" s="31"/>
      <c r="C55" s="31"/>
      <c r="D55" s="31"/>
      <c r="E55" s="31"/>
      <c r="F55" s="31"/>
    </row>
    <row r="56" spans="1:6" x14ac:dyDescent="0.3">
      <c r="A56" s="12" t="s">
        <v>13</v>
      </c>
      <c r="B56" s="12" t="s">
        <v>27</v>
      </c>
      <c r="C56" s="22">
        <v>33190</v>
      </c>
      <c r="D56" s="12" t="s">
        <v>13</v>
      </c>
      <c r="E56" s="12" t="s">
        <v>7</v>
      </c>
      <c r="F56" s="25">
        <v>37620</v>
      </c>
    </row>
    <row r="57" spans="1:6" x14ac:dyDescent="0.3">
      <c r="A57" s="1" t="s">
        <v>13</v>
      </c>
      <c r="B57" s="1" t="s">
        <v>2</v>
      </c>
      <c r="C57" s="1">
        <v>8306</v>
      </c>
      <c r="D57" s="12" t="s">
        <v>13</v>
      </c>
      <c r="E57" s="12" t="s">
        <v>4</v>
      </c>
      <c r="F57" s="29">
        <v>3876</v>
      </c>
    </row>
    <row r="58" spans="1:6" ht="12" thickBot="1" x14ac:dyDescent="0.35">
      <c r="A58" s="12"/>
      <c r="B58" s="12"/>
      <c r="C58" s="24">
        <f>C56+C57</f>
        <v>41496</v>
      </c>
      <c r="D58" s="12"/>
      <c r="E58" s="12"/>
      <c r="F58" s="24">
        <f>F56+F57</f>
        <v>41496</v>
      </c>
    </row>
    <row r="59" spans="1:6" ht="12" thickTop="1" x14ac:dyDescent="0.3"/>
    <row r="62" spans="1:6" x14ac:dyDescent="0.3">
      <c r="D62" s="12"/>
      <c r="E62" s="12"/>
      <c r="F62" s="28"/>
    </row>
  </sheetData>
  <mergeCells count="13">
    <mergeCell ref="A2:F2"/>
    <mergeCell ref="A7:F7"/>
    <mergeCell ref="A40:F40"/>
    <mergeCell ref="A29:F29"/>
    <mergeCell ref="A12:F12"/>
    <mergeCell ref="A17:F17"/>
    <mergeCell ref="A34:F34"/>
    <mergeCell ref="A37:F37"/>
    <mergeCell ref="A55:F55"/>
    <mergeCell ref="A43:F43"/>
    <mergeCell ref="A46:F46"/>
    <mergeCell ref="A23:F23"/>
    <mergeCell ref="A49:F49"/>
  </mergeCells>
  <phoneticPr fontId="3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609375" defaultRowHeight="12.45" x14ac:dyDescent="0.3"/>
  <sheetData/>
  <phoneticPr fontId="3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609375" defaultRowHeight="12.45" x14ac:dyDescent="0.3"/>
  <sheetData/>
  <phoneticPr fontId="3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Danner Klemens - s2510307051</cp:lastModifiedBy>
  <cp:lastPrinted>2011-01-14T13:51:36Z</cp:lastPrinted>
  <dcterms:created xsi:type="dcterms:W3CDTF">2008-01-25T09:22:28Z</dcterms:created>
  <dcterms:modified xsi:type="dcterms:W3CDTF">2025-12-01T12:22:35Z</dcterms:modified>
</cp:coreProperties>
</file>
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ine Ablage\Obsidian Vault\BWL\Übung\Aufträge\UE04b\"/>
    </mc:Choice>
  </mc:AlternateContent>
  <xr:revisionPtr revIDLastSave="0" documentId="13_ncr:1_{EA296F21-FBE4-4883-9015-21E4E9B52E6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  <c r="F21" i="1"/>
  <c r="C22" i="1"/>
  <c r="C31" i="1"/>
  <c r="F32" i="1"/>
  <c r="Q9" i="1"/>
  <c r="T10" i="1"/>
  <c r="F13" i="1"/>
  <c r="F11" i="1"/>
  <c r="F20" i="1"/>
  <c r="C11" i="1"/>
  <c r="C8" i="1"/>
</calcChain>
</file>

<file path=xl/sharedStrings.xml><?xml version="1.0" encoding="utf-8"?>
<sst xmlns="http://schemas.openxmlformats.org/spreadsheetml/2006/main" count="143" uniqueCount="66">
  <si>
    <t>31.12.</t>
  </si>
  <si>
    <t>Eröffnungsbilanz</t>
  </si>
  <si>
    <t>Eröffnungsbilanzkonto (EBK; die "gedrehte Bilanz")</t>
  </si>
  <si>
    <t>Abschluss d.h. Umbuchung Privat, Umbuchung Wareneinsatz=Warenverbrauch, Abschreibung</t>
  </si>
  <si>
    <t>Würstel (Kl. 1)</t>
  </si>
  <si>
    <t>Getränke (Kl. 1)</t>
  </si>
  <si>
    <t>Kassa (Kl. 2)</t>
  </si>
  <si>
    <t>Einrichtung (Kl. 0)</t>
  </si>
  <si>
    <t>Eigenkapital (Kl. 9)</t>
  </si>
  <si>
    <t>Abschreibungen (AfA; Kl. 7)</t>
  </si>
  <si>
    <t>diverse Aufwendungen (Kl. 7)</t>
  </si>
  <si>
    <t>Umsatzerlöse Würstel (UEW; Kl. 4)</t>
  </si>
  <si>
    <t>Umsatzerlöse Getränke (UEG; Kl. 4)</t>
  </si>
  <si>
    <t>Wareneinsatz Würstel (WEW; Kl. 5)</t>
  </si>
  <si>
    <t>Wareneinsatz Getränke (WEG; Kl. 5)</t>
  </si>
  <si>
    <t>Abschreibung (AfA) …………………………………………… / ………………………………………….</t>
  </si>
  <si>
    <t>d) Barverkauf Würstel: …………………………../ …………………………</t>
  </si>
  <si>
    <t>e) Barverkauf Getränke: …………………………… / ……………………..</t>
  </si>
  <si>
    <t>f) Privatentnahme: ……………………………….. / …………………………</t>
  </si>
  <si>
    <t>g) laufende Aufwendungen: ………………………../ …………………..</t>
  </si>
  <si>
    <r>
      <t xml:space="preserve">Buchungssätze </t>
    </r>
    <r>
      <rPr>
        <i/>
        <sz val="11"/>
        <color theme="1"/>
        <rFont val="Calibri"/>
        <family val="2"/>
        <scheme val="minor"/>
      </rPr>
      <t>(ersetzen Sie die "……" durch das entspr. Konto</t>
    </r>
  </si>
  <si>
    <t>GuV (Kl. 9)</t>
  </si>
  <si>
    <t>SBK (Kl. 9)</t>
  </si>
  <si>
    <t>1.1.</t>
  </si>
  <si>
    <t>Kassa</t>
  </si>
  <si>
    <t>Eigenkapital</t>
  </si>
  <si>
    <t>EBK</t>
  </si>
  <si>
    <t>a</t>
  </si>
  <si>
    <t>a) Invest Einrichtung: ………………………. / ……………………………….</t>
  </si>
  <si>
    <t>b) Kauf Würstel: ……………………………… / …………………………………</t>
  </si>
  <si>
    <t>c) Kauf Getränke: ……………………………../ ……………………………….</t>
  </si>
  <si>
    <t>Einrichtung</t>
  </si>
  <si>
    <t>b</t>
  </si>
  <si>
    <t>Einrichtung / Kassa</t>
  </si>
  <si>
    <t>Würstel / Kassa</t>
  </si>
  <si>
    <t>Würstel</t>
  </si>
  <si>
    <t>c</t>
  </si>
  <si>
    <t>Getränke</t>
  </si>
  <si>
    <t>Getränke / Kassa</t>
  </si>
  <si>
    <t>d</t>
  </si>
  <si>
    <t>e</t>
  </si>
  <si>
    <t>Umsatzerlöse W</t>
  </si>
  <si>
    <t>Umsatzerlöse G</t>
  </si>
  <si>
    <t>Kassa / Umsatzerlöse Würstel</t>
  </si>
  <si>
    <t>Kassa / Umsatzerlöse Getränke</t>
  </si>
  <si>
    <t>Privat / Kassa</t>
  </si>
  <si>
    <t>diverse Aufwendungen / Kassa</t>
  </si>
  <si>
    <t>f</t>
  </si>
  <si>
    <t>Privat</t>
  </si>
  <si>
    <t>div. Aufwendungen</t>
  </si>
  <si>
    <t>g</t>
  </si>
  <si>
    <t>WEW</t>
  </si>
  <si>
    <t>WEG</t>
  </si>
  <si>
    <t>SBK</t>
  </si>
  <si>
    <t>Abschreibungen</t>
  </si>
  <si>
    <t>Abschreibungen / Einrichtung</t>
  </si>
  <si>
    <t>Wareneinsatz Würstel / Würstel</t>
  </si>
  <si>
    <t>Wareneinsatz Getränke / Getränke</t>
  </si>
  <si>
    <t>Umbuchung Wareneinsatz Getränke: ……………………………………….. / ………………………………………………..</t>
  </si>
  <si>
    <t>Umbuchung Wareneinsatz Würstel: ……………………………………….. / ………………………………………………..</t>
  </si>
  <si>
    <t>Privatumbuchung:        …………………………………… / …………………………………………….</t>
  </si>
  <si>
    <t>Privat (Kl. 9) - nicht ins GuV!</t>
  </si>
  <si>
    <t>Eigenkapital / Privat</t>
  </si>
  <si>
    <t>GuV</t>
  </si>
  <si>
    <t>UEW</t>
  </si>
  <si>
    <t>UEG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</si>
</sst>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" fontId="0" fillId="0" borderId="3" xfId="0" applyNumberFormat="1" applyBorder="1"/>
    <xf numFmtId="4" fontId="0" fillId="0" borderId="2" xfId="0" applyNumberFormat="1" applyBorder="1"/>
    <xf numFmtId="4" fontId="0" fillId="0" borderId="0" xfId="0" applyNumberFormat="1"/>
    <xf numFmtId="4" fontId="0" fillId="0" borderId="4" xfId="0" applyNumberFormat="1" applyBorder="1"/>
    <xf numFmtId="0" fontId="0" fillId="0" borderId="5" xfId="0" applyBorder="1"/>
    <xf numFmtId="4" fontId="0" fillId="0" borderId="6" xfId="0" applyNumberFormat="1" applyBorder="1"/>
    <xf numFmtId="4" fontId="0" fillId="0" borderId="5" xfId="0" applyNumberFormat="1" applyBorder="1"/>
    <xf numFmtId="4" fontId="0" fillId="0" borderId="7" xfId="0" applyNumberFormat="1" applyBorder="1"/>
    <xf numFmtId="0" fontId="0" fillId="2" borderId="0" xfId="0" applyFill="1"/>
    <xf numFmtId="0" fontId="0" fillId="0" borderId="2" xfId="0" applyBorder="1"/>
    <xf numFmtId="4" fontId="0" fillId="0" borderId="1" xfId="0" applyNumberFormat="1" applyBorder="1"/>
    <xf numFmtId="0" fontId="2" fillId="0" borderId="0" xfId="0" applyFont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694444</xdr:colOff>
      <xdr:row>38</xdr:row>
      <xdr:rowOff>37456</xdr:rowOff>
    </xdr:from>
    <xdr:to>
      <xdr:col>15</xdr:col>
      <xdr:colOff>759175</xdr:colOff>
      <xdr:row>61</xdr:row>
      <xdr:rowOff>161221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0430AEE-7503-2ACB-DD76-A8D485E1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6915" y="7273255"/>
          <a:ext cx="4771201" cy="4394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topLeftCell="A12" zoomScale="85" zoomScaleNormal="85" workbookViewId="0">
      <selection activeCell="J28" sqref="J28"/>
    </sheetView>
  </sheetViews>
  <sheetFormatPr baseColWidth="10" defaultColWidth="9.15234375" defaultRowHeight="14.6" x14ac:dyDescent="0.4"/>
  <cols>
    <col min="2" max="2" width="14.15234375" bestFit="1" customWidth="1"/>
    <col min="3" max="3" width="11" customWidth="1"/>
    <col min="4" max="4" width="6.53515625" customWidth="1"/>
    <col min="5" max="5" width="17" bestFit="1" customWidth="1"/>
    <col min="6" max="6" width="11.84375" customWidth="1"/>
    <col min="9" max="9" width="10.84375" customWidth="1"/>
    <col min="10" max="10" width="10.3828125" customWidth="1"/>
    <col min="12" max="12" width="18" customWidth="1"/>
    <col min="13" max="13" width="10.69140625" customWidth="1"/>
    <col min="16" max="16" width="17" bestFit="1" customWidth="1"/>
    <col min="17" max="17" width="9.69140625" customWidth="1"/>
    <col min="19" max="19" width="14.69140625" customWidth="1"/>
    <col min="20" max="20" width="10.69140625" customWidth="1"/>
  </cols>
  <sheetData>
    <row r="1" spans="1:20" x14ac:dyDescent="0.4">
      <c r="A1" s="1"/>
      <c r="B1" s="1"/>
      <c r="C1" s="2" t="s">
        <v>1</v>
      </c>
      <c r="D1" s="2"/>
      <c r="E1" s="1"/>
      <c r="F1" s="1"/>
      <c r="H1" s="1"/>
      <c r="I1" s="1"/>
      <c r="J1" s="1" t="s">
        <v>9</v>
      </c>
      <c r="K1" s="1"/>
      <c r="L1" s="1"/>
      <c r="M1" s="1"/>
    </row>
    <row r="2" spans="1:20" ht="15" thickBot="1" x14ac:dyDescent="0.45">
      <c r="A2" t="s">
        <v>23</v>
      </c>
      <c r="B2" t="s">
        <v>24</v>
      </c>
      <c r="C2" s="6">
        <v>20000</v>
      </c>
      <c r="D2" t="s">
        <v>23</v>
      </c>
      <c r="E2" t="s">
        <v>25</v>
      </c>
      <c r="F2" s="8">
        <v>20000</v>
      </c>
      <c r="H2" t="s">
        <v>0</v>
      </c>
      <c r="I2" t="s">
        <v>31</v>
      </c>
      <c r="J2" s="6">
        <v>1000</v>
      </c>
      <c r="K2" t="s">
        <v>0</v>
      </c>
      <c r="L2" t="s">
        <v>63</v>
      </c>
      <c r="M2" s="6">
        <v>1000</v>
      </c>
    </row>
    <row r="3" spans="1:20" ht="15" thickTop="1" x14ac:dyDescent="0.4"/>
    <row r="4" spans="1:20" x14ac:dyDescent="0.4">
      <c r="A4" s="1"/>
      <c r="B4" s="1"/>
      <c r="C4" s="2" t="s">
        <v>2</v>
      </c>
      <c r="D4" s="2"/>
      <c r="E4" s="1"/>
      <c r="F4" s="1"/>
      <c r="H4" s="1"/>
      <c r="I4" s="1"/>
      <c r="J4" s="1" t="s">
        <v>10</v>
      </c>
      <c r="K4" s="1"/>
      <c r="L4" s="1"/>
      <c r="M4" s="1"/>
      <c r="O4" s="1"/>
      <c r="P4" s="1"/>
      <c r="Q4" s="18" t="s">
        <v>21</v>
      </c>
      <c r="R4" s="18"/>
      <c r="S4" s="1"/>
      <c r="T4" s="1"/>
    </row>
    <row r="5" spans="1:20" ht="15" thickBot="1" x14ac:dyDescent="0.45">
      <c r="A5" t="s">
        <v>23</v>
      </c>
      <c r="B5" t="s">
        <v>25</v>
      </c>
      <c r="C5" s="8">
        <v>20000</v>
      </c>
      <c r="D5" t="s">
        <v>23</v>
      </c>
      <c r="E5" t="s">
        <v>24</v>
      </c>
      <c r="F5" s="6">
        <v>20000</v>
      </c>
      <c r="H5" t="s">
        <v>50</v>
      </c>
      <c r="I5" t="s">
        <v>24</v>
      </c>
      <c r="J5" s="6">
        <v>4800</v>
      </c>
      <c r="K5" t="s">
        <v>0</v>
      </c>
      <c r="L5" t="s">
        <v>63</v>
      </c>
      <c r="M5" s="6">
        <v>4800</v>
      </c>
      <c r="O5" t="s">
        <v>0</v>
      </c>
      <c r="P5" t="s">
        <v>54</v>
      </c>
      <c r="Q5" s="3">
        <v>1000</v>
      </c>
      <c r="R5" t="s">
        <v>0</v>
      </c>
      <c r="S5" t="s">
        <v>64</v>
      </c>
      <c r="T5" s="5">
        <v>30000</v>
      </c>
    </row>
    <row r="6" spans="1:20" ht="15" thickTop="1" x14ac:dyDescent="0.4">
      <c r="O6" t="s">
        <v>0</v>
      </c>
      <c r="P6" t="s">
        <v>49</v>
      </c>
      <c r="Q6" s="4">
        <v>4800</v>
      </c>
      <c r="R6" t="s">
        <v>0</v>
      </c>
      <c r="S6" t="s">
        <v>65</v>
      </c>
      <c r="T6" s="5">
        <v>22500</v>
      </c>
    </row>
    <row r="7" spans="1:20" x14ac:dyDescent="0.4">
      <c r="A7" s="1"/>
      <c r="B7" s="1"/>
      <c r="C7" s="18" t="s">
        <v>4</v>
      </c>
      <c r="D7" s="18"/>
      <c r="E7" s="1"/>
      <c r="F7" s="1"/>
      <c r="O7" t="s">
        <v>0</v>
      </c>
      <c r="P7" t="s">
        <v>51</v>
      </c>
      <c r="Q7" s="4">
        <v>9000</v>
      </c>
    </row>
    <row r="8" spans="1:20" ht="15" thickBot="1" x14ac:dyDescent="0.45">
      <c r="A8" t="s">
        <v>32</v>
      </c>
      <c r="B8" t="s">
        <v>24</v>
      </c>
      <c r="C8" s="6">
        <f>15000*0.6</f>
        <v>9000</v>
      </c>
      <c r="D8" t="s">
        <v>0</v>
      </c>
      <c r="E8" t="s">
        <v>51</v>
      </c>
      <c r="F8" s="6">
        <v>9000</v>
      </c>
      <c r="H8" s="1"/>
      <c r="I8" s="1"/>
      <c r="J8" s="1" t="s">
        <v>11</v>
      </c>
      <c r="K8" s="1"/>
      <c r="L8" s="1"/>
      <c r="M8" s="1"/>
      <c r="O8" t="s">
        <v>0</v>
      </c>
      <c r="P8" t="s">
        <v>52</v>
      </c>
      <c r="Q8" s="4">
        <v>7500</v>
      </c>
    </row>
    <row r="9" spans="1:20" ht="15.45" thickTop="1" thickBot="1" x14ac:dyDescent="0.45">
      <c r="H9" t="s">
        <v>0</v>
      </c>
      <c r="I9" t="s">
        <v>63</v>
      </c>
      <c r="J9" s="6">
        <v>30000</v>
      </c>
      <c r="K9" t="s">
        <v>39</v>
      </c>
      <c r="L9" t="s">
        <v>24</v>
      </c>
      <c r="M9" s="6">
        <v>30000</v>
      </c>
      <c r="O9" t="s">
        <v>0</v>
      </c>
      <c r="P9" s="17" t="s">
        <v>25</v>
      </c>
      <c r="Q9" s="13">
        <f>Q10-Q8-Q7-Q6-Q5</f>
        <v>30200</v>
      </c>
      <c r="T9" s="1"/>
    </row>
    <row r="10" spans="1:20" ht="15.45" thickTop="1" thickBot="1" x14ac:dyDescent="0.45">
      <c r="A10" s="1"/>
      <c r="B10" s="1"/>
      <c r="C10" s="2" t="s">
        <v>5</v>
      </c>
      <c r="D10" s="2"/>
      <c r="E10" s="1"/>
      <c r="F10" s="1"/>
      <c r="Q10" s="8">
        <v>52500</v>
      </c>
      <c r="T10" s="8">
        <f>SUM(T5:T6)</f>
        <v>52500</v>
      </c>
    </row>
    <row r="11" spans="1:20" ht="15" thickTop="1" x14ac:dyDescent="0.4">
      <c r="A11" t="s">
        <v>36</v>
      </c>
      <c r="B11" t="s">
        <v>24</v>
      </c>
      <c r="C11" s="3">
        <f>16000*0.5</f>
        <v>8000</v>
      </c>
      <c r="D11" t="s">
        <v>0</v>
      </c>
      <c r="E11" t="s">
        <v>52</v>
      </c>
      <c r="F11" s="5">
        <f>15000*0.5</f>
        <v>7500</v>
      </c>
      <c r="H11" s="1"/>
      <c r="I11" s="1"/>
      <c r="J11" s="1" t="s">
        <v>12</v>
      </c>
      <c r="K11" s="1"/>
      <c r="L11" s="1"/>
      <c r="M11" s="1"/>
    </row>
    <row r="12" spans="1:20" ht="15" thickBot="1" x14ac:dyDescent="0.45">
      <c r="C12" s="7"/>
      <c r="D12" t="s">
        <v>0</v>
      </c>
      <c r="E12" t="s">
        <v>53</v>
      </c>
      <c r="F12" s="13">
        <v>500</v>
      </c>
      <c r="H12" t="s">
        <v>0</v>
      </c>
      <c r="I12" t="s">
        <v>63</v>
      </c>
      <c r="J12" s="6">
        <v>22500</v>
      </c>
      <c r="K12" t="s">
        <v>40</v>
      </c>
      <c r="L12" t="s">
        <v>24</v>
      </c>
      <c r="M12" s="6">
        <v>22500</v>
      </c>
      <c r="O12" s="1"/>
      <c r="P12" s="1"/>
      <c r="Q12" s="18" t="s">
        <v>22</v>
      </c>
      <c r="R12" s="18"/>
      <c r="S12" s="1"/>
      <c r="T12" s="1"/>
    </row>
    <row r="13" spans="1:20" ht="15.45" thickTop="1" thickBot="1" x14ac:dyDescent="0.45">
      <c r="C13" s="6">
        <v>8000</v>
      </c>
      <c r="F13" s="8">
        <f>F11+F12</f>
        <v>8000</v>
      </c>
      <c r="O13" t="s">
        <v>0</v>
      </c>
      <c r="P13" t="s">
        <v>37</v>
      </c>
      <c r="Q13" s="3">
        <v>500</v>
      </c>
      <c r="R13" t="s">
        <v>0</v>
      </c>
      <c r="S13" t="s">
        <v>25</v>
      </c>
      <c r="T13" s="13">
        <v>35200</v>
      </c>
    </row>
    <row r="14" spans="1:20" ht="15" thickTop="1" x14ac:dyDescent="0.4">
      <c r="H14" s="1"/>
      <c r="I14" s="1"/>
      <c r="J14" s="1" t="s">
        <v>13</v>
      </c>
      <c r="K14" s="1"/>
      <c r="L14" s="1"/>
      <c r="M14" s="1"/>
      <c r="O14" t="s">
        <v>0</v>
      </c>
      <c r="P14" t="s">
        <v>31</v>
      </c>
      <c r="Q14" s="4">
        <v>4000</v>
      </c>
    </row>
    <row r="15" spans="1:20" ht="15" thickBot="1" x14ac:dyDescent="0.45">
      <c r="A15" s="1"/>
      <c r="B15" s="1"/>
      <c r="C15" s="2" t="s">
        <v>6</v>
      </c>
      <c r="D15" s="2"/>
      <c r="E15" s="1"/>
      <c r="F15" s="1"/>
      <c r="H15" t="s">
        <v>0</v>
      </c>
      <c r="I15" t="s">
        <v>35</v>
      </c>
      <c r="J15" s="6">
        <v>9000</v>
      </c>
      <c r="K15" t="s">
        <v>0</v>
      </c>
      <c r="L15" t="s">
        <v>63</v>
      </c>
      <c r="M15" s="6">
        <v>9000</v>
      </c>
      <c r="O15" t="s">
        <v>0</v>
      </c>
      <c r="P15" t="s">
        <v>24</v>
      </c>
      <c r="Q15" s="9">
        <v>30700</v>
      </c>
      <c r="T15" s="1"/>
    </row>
    <row r="16" spans="1:20" ht="15.45" thickTop="1" thickBot="1" x14ac:dyDescent="0.45">
      <c r="A16" t="s">
        <v>23</v>
      </c>
      <c r="B16" t="s">
        <v>26</v>
      </c>
      <c r="C16" s="3">
        <v>20000</v>
      </c>
      <c r="D16" t="s">
        <v>27</v>
      </c>
      <c r="E16" t="s">
        <v>31</v>
      </c>
      <c r="F16" s="5">
        <v>5000</v>
      </c>
      <c r="Q16" s="6">
        <f>Q13+Q14+Q15</f>
        <v>35200</v>
      </c>
      <c r="T16" s="8">
        <v>35200</v>
      </c>
    </row>
    <row r="17" spans="1:21" ht="15" thickTop="1" x14ac:dyDescent="0.4">
      <c r="A17" t="s">
        <v>39</v>
      </c>
      <c r="B17" t="s">
        <v>41</v>
      </c>
      <c r="C17" s="4">
        <v>30000</v>
      </c>
      <c r="D17" t="s">
        <v>32</v>
      </c>
      <c r="E17" t="s">
        <v>35</v>
      </c>
      <c r="F17" s="5">
        <v>9000</v>
      </c>
      <c r="H17" s="1"/>
      <c r="I17" s="1"/>
      <c r="J17" s="1" t="s">
        <v>14</v>
      </c>
      <c r="K17" s="1"/>
      <c r="L17" s="1"/>
      <c r="M17" s="1"/>
    </row>
    <row r="18" spans="1:21" ht="15" thickBot="1" x14ac:dyDescent="0.45">
      <c r="A18" t="s">
        <v>40</v>
      </c>
      <c r="B18" t="s">
        <v>42</v>
      </c>
      <c r="C18" s="4">
        <v>22500</v>
      </c>
      <c r="D18" t="s">
        <v>36</v>
      </c>
      <c r="E18" t="s">
        <v>37</v>
      </c>
      <c r="F18" s="5">
        <v>8000</v>
      </c>
      <c r="H18" t="s">
        <v>0</v>
      </c>
      <c r="I18" t="s">
        <v>37</v>
      </c>
      <c r="J18" s="6">
        <v>7500</v>
      </c>
      <c r="M18" s="6"/>
    </row>
    <row r="19" spans="1:21" ht="15" thickTop="1" x14ac:dyDescent="0.4">
      <c r="C19" s="12"/>
      <c r="D19" t="s">
        <v>47</v>
      </c>
      <c r="E19" t="s">
        <v>48</v>
      </c>
      <c r="F19" s="5">
        <v>15000</v>
      </c>
    </row>
    <row r="20" spans="1:21" x14ac:dyDescent="0.4">
      <c r="C20" s="12"/>
      <c r="D20" t="s">
        <v>50</v>
      </c>
      <c r="E20" t="s">
        <v>49</v>
      </c>
      <c r="F20" s="5">
        <f>400*12</f>
        <v>4800</v>
      </c>
      <c r="H20" s="1"/>
      <c r="I20" s="1"/>
      <c r="J20" s="1" t="s">
        <v>61</v>
      </c>
      <c r="K20" s="16"/>
      <c r="L20" s="16"/>
      <c r="M20" s="1"/>
    </row>
    <row r="21" spans="1:21" ht="15" thickBot="1" x14ac:dyDescent="0.45">
      <c r="C21" s="7"/>
      <c r="D21" t="s">
        <v>0</v>
      </c>
      <c r="E21" t="s">
        <v>53</v>
      </c>
      <c r="F21" s="13">
        <f>F22-F20-F19-F18-F17-F16</f>
        <v>30700</v>
      </c>
      <c r="H21" t="s">
        <v>47</v>
      </c>
      <c r="I21" t="s">
        <v>24</v>
      </c>
      <c r="J21" s="6">
        <v>15000</v>
      </c>
      <c r="K21" t="s">
        <v>0</v>
      </c>
      <c r="L21" t="s">
        <v>25</v>
      </c>
      <c r="M21" s="6">
        <v>15000</v>
      </c>
    </row>
    <row r="22" spans="1:21" ht="15.45" thickTop="1" thickBot="1" x14ac:dyDescent="0.45">
      <c r="C22" s="10">
        <f>SUM(C16:C21)</f>
        <v>72500</v>
      </c>
      <c r="F22" s="10">
        <v>72500</v>
      </c>
    </row>
    <row r="23" spans="1:21" ht="15" thickTop="1" x14ac:dyDescent="0.4"/>
    <row r="24" spans="1:21" x14ac:dyDescent="0.4">
      <c r="A24" s="1"/>
      <c r="B24" s="1"/>
      <c r="C24" s="2" t="s">
        <v>7</v>
      </c>
      <c r="D24" s="2"/>
      <c r="E24" s="1"/>
      <c r="F24" s="1"/>
      <c r="H24" s="11" t="s">
        <v>20</v>
      </c>
      <c r="I24" s="11"/>
      <c r="M24" s="15" t="s">
        <v>3</v>
      </c>
      <c r="N24" s="15"/>
      <c r="O24" s="15"/>
      <c r="P24" s="15"/>
      <c r="Q24" s="15"/>
      <c r="R24" s="15"/>
      <c r="S24" s="15"/>
      <c r="T24" s="15"/>
      <c r="U24" s="15"/>
    </row>
    <row r="25" spans="1:21" x14ac:dyDescent="0.4">
      <c r="A25" t="s">
        <v>27</v>
      </c>
      <c r="B25" t="s">
        <v>24</v>
      </c>
      <c r="C25" s="3">
        <v>5000</v>
      </c>
      <c r="D25" t="s">
        <v>0</v>
      </c>
      <c r="E25" t="s">
        <v>54</v>
      </c>
      <c r="F25" s="5">
        <v>1000</v>
      </c>
      <c r="H25" t="s">
        <v>28</v>
      </c>
      <c r="K25" t="s">
        <v>33</v>
      </c>
      <c r="M25" s="5" t="s">
        <v>0</v>
      </c>
      <c r="N25" t="s">
        <v>60</v>
      </c>
      <c r="O25" s="14"/>
      <c r="R25" t="s">
        <v>62</v>
      </c>
      <c r="T25" s="5"/>
      <c r="U25">
        <v>15000</v>
      </c>
    </row>
    <row r="26" spans="1:21" x14ac:dyDescent="0.4">
      <c r="C26" s="7"/>
      <c r="D26" t="s">
        <v>0</v>
      </c>
      <c r="E26" t="s">
        <v>53</v>
      </c>
      <c r="F26" s="13">
        <v>4000</v>
      </c>
      <c r="H26" t="s">
        <v>29</v>
      </c>
      <c r="K26" t="s">
        <v>34</v>
      </c>
      <c r="M26" t="s">
        <v>0</v>
      </c>
      <c r="N26" t="s">
        <v>58</v>
      </c>
      <c r="R26" t="s">
        <v>57</v>
      </c>
      <c r="U26">
        <v>9000</v>
      </c>
    </row>
    <row r="27" spans="1:21" ht="15" thickBot="1" x14ac:dyDescent="0.45">
      <c r="C27" s="8">
        <v>5000</v>
      </c>
      <c r="F27" s="8">
        <v>5000</v>
      </c>
      <c r="H27" t="s">
        <v>30</v>
      </c>
      <c r="K27" t="s">
        <v>38</v>
      </c>
      <c r="M27" s="5" t="s">
        <v>0</v>
      </c>
      <c r="N27" t="s">
        <v>59</v>
      </c>
      <c r="O27" s="14"/>
      <c r="R27" t="s">
        <v>56</v>
      </c>
      <c r="U27">
        <v>7500</v>
      </c>
    </row>
    <row r="28" spans="1:21" ht="15" thickTop="1" x14ac:dyDescent="0.4">
      <c r="H28" t="s">
        <v>16</v>
      </c>
      <c r="K28" t="s">
        <v>43</v>
      </c>
      <c r="M28" s="5" t="s">
        <v>0</v>
      </c>
      <c r="N28" t="s">
        <v>15</v>
      </c>
      <c r="O28" s="14"/>
      <c r="R28" t="s">
        <v>55</v>
      </c>
      <c r="U28">
        <v>1000</v>
      </c>
    </row>
    <row r="29" spans="1:21" x14ac:dyDescent="0.4">
      <c r="A29" s="1"/>
      <c r="B29" s="1"/>
      <c r="C29" s="2" t="s">
        <v>8</v>
      </c>
      <c r="D29" s="2"/>
      <c r="E29" s="1"/>
      <c r="F29" s="1"/>
      <c r="H29" t="s">
        <v>17</v>
      </c>
      <c r="K29" t="s">
        <v>44</v>
      </c>
      <c r="M29" s="5"/>
      <c r="O29" s="14" t="s">
        <v>0</v>
      </c>
      <c r="T29" s="5"/>
    </row>
    <row r="30" spans="1:21" x14ac:dyDescent="0.4">
      <c r="A30" t="s">
        <v>0</v>
      </c>
      <c r="B30" t="s">
        <v>48</v>
      </c>
      <c r="C30" s="3">
        <v>15000</v>
      </c>
      <c r="D30" t="s">
        <v>23</v>
      </c>
      <c r="E30" t="s">
        <v>26</v>
      </c>
      <c r="F30" s="5">
        <v>20000</v>
      </c>
      <c r="H30" t="s">
        <v>18</v>
      </c>
      <c r="K30" t="s">
        <v>45</v>
      </c>
      <c r="M30" s="5"/>
    </row>
    <row r="31" spans="1:21" x14ac:dyDescent="0.4">
      <c r="A31" t="s">
        <v>0</v>
      </c>
      <c r="B31" t="s">
        <v>53</v>
      </c>
      <c r="C31" s="9">
        <f>C32-C30</f>
        <v>35200</v>
      </c>
      <c r="D31" t="s">
        <v>0</v>
      </c>
      <c r="E31" t="s">
        <v>63</v>
      </c>
      <c r="F31" s="13">
        <v>30200</v>
      </c>
      <c r="H31" t="s">
        <v>19</v>
      </c>
      <c r="K31" t="s">
        <v>46</v>
      </c>
      <c r="M31" s="5"/>
    </row>
    <row r="32" spans="1:21" ht="15" thickBot="1" x14ac:dyDescent="0.45">
      <c r="C32" s="6">
        <v>50200</v>
      </c>
      <c r="F32" s="8">
        <f>F30+F31</f>
        <v>50200</v>
      </c>
    </row>
    <row r="33" ht="15" thickTop="1" x14ac:dyDescent="0.4"/>
  </sheetData>
  <mergeCells count="3">
    <mergeCell ref="Q4:R4"/>
    <mergeCell ref="Q12:R12"/>
    <mergeCell ref="C7:D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5234375" defaultRowHeight="14.6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5234375" defaultRowHeight="14.6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P20016</dc:creator>
  <cp:lastModifiedBy>Danner Klemens - s2510307051</cp:lastModifiedBy>
  <cp:lastPrinted>2009-12-09T10:51:00Z</cp:lastPrinted>
  <dcterms:created xsi:type="dcterms:W3CDTF">2009-11-30T09:42:31Z</dcterms:created>
  <dcterms:modified xsi:type="dcterms:W3CDTF">2025-11-10T08:31:36Z</dcterms:modified>
</cp:coreProperties>
</file>
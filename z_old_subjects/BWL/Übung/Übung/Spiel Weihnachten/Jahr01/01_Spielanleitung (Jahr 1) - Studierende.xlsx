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3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4.xml" ContentType="application/vnd.openxmlformats-officedocument.drawing+xml"/>
  <Override PartName="/xl/ctrlProps/ctrlProp50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Obsidian Vault\BWL\Übung\Spiel Weihnachten\"/>
    </mc:Choice>
  </mc:AlternateContent>
  <xr:revisionPtr revIDLastSave="0" documentId="13_ncr:1_{68E025D8-BF14-486C-9C6F-1E906A3FBE2D}" xr6:coauthVersionLast="47" xr6:coauthVersionMax="47" xr10:uidLastSave="{00000000-0000-0000-0000-000000000000}"/>
  <workbookProtection workbookAlgorithmName="SHA-512" workbookHashValue="uvwFF2TvfF4rpagu8J5KVieT53VViOgVioxcmg5JCMVy4FPHKXZaUp/aj3+3RifCC5sGloulAlJrgDjw7Uf3MQ==" workbookSaltValue="uZIKX7pjojVopcZGbvelGQ==" workbookSpinCount="100000" lockStructure="1"/>
  <bookViews>
    <workbookView xWindow="-103" yWindow="-103" windowWidth="24892" windowHeight="14914" activeTab="5" xr2:uid="{00000000-000D-0000-FFFF-FFFF00000000}"/>
  </bookViews>
  <sheets>
    <sheet name="Jahr 01_Checkliste A" sheetId="1" r:id="rId1"/>
    <sheet name="Jahr 01_Abr.tab." sheetId="2" r:id="rId2"/>
    <sheet name="Jahr 01_Checkliste B" sheetId="3" r:id="rId3"/>
    <sheet name="Jahr 01_JA_GuV" sheetId="4" r:id="rId4"/>
    <sheet name="Jahr 01_JA_Bil" sheetId="6" r:id="rId5"/>
    <sheet name="Jahr 01_JA_KPIs" sheetId="7" r:id="rId6"/>
    <sheet name="Jahr 01_CashFlow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D19" i="6"/>
  <c r="D10" i="6"/>
  <c r="J21" i="7"/>
  <c r="J30" i="7"/>
  <c r="J26" i="7"/>
  <c r="J13" i="7"/>
  <c r="A32" i="7"/>
  <c r="A28" i="7"/>
  <c r="A24" i="7"/>
  <c r="A20" i="7"/>
  <c r="G13" i="7"/>
  <c r="J17" i="7" s="1"/>
  <c r="D15" i="7"/>
  <c r="A13" i="7"/>
  <c r="A9" i="7"/>
  <c r="D11" i="7" s="1"/>
  <c r="C33" i="6"/>
  <c r="C32" i="6"/>
  <c r="C27" i="6"/>
  <c r="C19" i="6"/>
  <c r="C10" i="6"/>
  <c r="C20" i="6" s="1"/>
  <c r="C13" i="4"/>
  <c r="C11" i="4"/>
  <c r="C8" i="4"/>
  <c r="D26" i="7" l="1"/>
  <c r="G8" i="7"/>
  <c r="G2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tc={D08A6A90-0787-423E-9B89-D55E286F446D}</author>
  </authors>
  <commentList>
    <comment ref="A2" authorId="0" shapeId="0" xr:uid="{D08A6A90-0787-423E-9B89-D55E286F44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durchgeführten Schritte hier abhaken</t>
      </text>
    </comment>
  </commentList>
</comments>
</file>

<file path=xl/sharedStrings.xml><?xml version="1.0" encoding="utf-8"?>
<sst xmlns="http://schemas.openxmlformats.org/spreadsheetml/2006/main" count="173" uniqueCount="125">
  <si>
    <r>
      <t xml:space="preserve">Die Kunden  bezahlen. Bewegen Sie die Werteträger von </t>
    </r>
    <r>
      <rPr>
        <b/>
        <sz val="8"/>
        <color theme="1"/>
        <rFont val="Calibri"/>
        <family val="2"/>
        <scheme val="minor"/>
      </rPr>
      <t>Forderungen</t>
    </r>
    <r>
      <rPr>
        <sz val="8"/>
        <color theme="1"/>
        <rFont val="Calibri"/>
        <family val="2"/>
        <scheme val="minor"/>
      </rPr>
      <t xml:space="preserve"> zu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</si>
  <si>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r>
      <t xml:space="preserve">Liefern Sie die fertigen Produkte gemäß </t>
    </r>
    <r>
      <rPr>
        <b/>
        <sz val="8"/>
        <color theme="1"/>
        <rFont val="Calibri"/>
        <family val="2"/>
        <scheme val="minor"/>
      </rPr>
      <t>Auftrag</t>
    </r>
    <r>
      <rPr>
        <sz val="8"/>
        <color theme="1"/>
        <rFont val="Calibri"/>
        <family val="2"/>
        <scheme val="minor"/>
      </rPr>
      <t xml:space="preserve"> aus</t>
    </r>
  </si>
  <si>
    <r>
      <t xml:space="preserve">Notieren Sie die </t>
    </r>
    <r>
      <rPr>
        <b/>
        <sz val="8"/>
        <color theme="1"/>
        <rFont val="Calibri"/>
        <family val="2"/>
        <scheme val="minor"/>
      </rPr>
      <t>Herstellungskosten</t>
    </r>
    <r>
      <rPr>
        <sz val="8"/>
        <color theme="1"/>
        <rFont val="Calibri"/>
        <family val="2"/>
        <scheme val="minor"/>
      </rPr>
      <t xml:space="preserve"> für den entsprechenden Auftrag in der </t>
    </r>
    <r>
      <rPr>
        <b/>
        <sz val="8"/>
        <color theme="1"/>
        <rFont val="Calibri"/>
        <family val="2"/>
        <scheme val="minor"/>
      </rPr>
      <t>Abrechnungstabelle</t>
    </r>
    <r>
      <rPr>
        <sz val="8"/>
        <color theme="1"/>
        <rFont val="Calibri"/>
        <family val="2"/>
        <scheme val="minor"/>
      </rPr>
      <t xml:space="preserve"> auf der folgenden Seite.</t>
    </r>
  </si>
  <si>
    <r>
      <t xml:space="preserve">Stellen Sie eine </t>
    </r>
    <r>
      <rPr>
        <b/>
        <sz val="8"/>
        <color theme="1"/>
        <rFont val="Calibri"/>
        <family val="2"/>
        <scheme val="minor"/>
      </rPr>
      <t>Ausgangsrechnung</t>
    </r>
    <r>
      <rPr>
        <sz val="8"/>
        <color theme="1"/>
        <rFont val="Calibri"/>
        <family val="2"/>
        <scheme val="minor"/>
      </rPr>
      <t xml:space="preserve">. Platzieren Sie den </t>
    </r>
    <r>
      <rPr>
        <b/>
        <sz val="8"/>
        <color theme="1"/>
        <rFont val="Calibri"/>
        <family val="2"/>
        <scheme val="minor"/>
      </rPr>
      <t>Umsatzerlös</t>
    </r>
    <r>
      <rPr>
        <sz val="8"/>
        <color theme="1"/>
        <rFont val="Calibri"/>
        <family val="2"/>
        <scheme val="minor"/>
      </rPr>
      <t xml:space="preserve"> bei </t>
    </r>
    <r>
      <rPr>
        <b/>
        <sz val="8"/>
        <color theme="1"/>
        <rFont val="Calibri"/>
        <family val="2"/>
        <scheme val="minor"/>
      </rPr>
      <t>Forderungen</t>
    </r>
    <r>
      <rPr>
        <sz val="8"/>
        <color theme="1"/>
        <rFont val="Calibri"/>
        <family val="2"/>
        <scheme val="minor"/>
      </rPr>
      <t>.</t>
    </r>
  </si>
  <si>
    <r>
      <t xml:space="preserve">Führen Sie die Endmontage in der </t>
    </r>
    <r>
      <rPr>
        <b/>
        <sz val="8"/>
        <color theme="1"/>
        <rFont val="Calibri"/>
        <family val="2"/>
        <scheme val="minor"/>
      </rPr>
      <t>Fertigungsstufe 2</t>
    </r>
    <r>
      <rPr>
        <sz val="8"/>
        <color theme="1"/>
        <rFont val="Calibri"/>
        <family val="2"/>
        <scheme val="minor"/>
      </rPr>
      <t xml:space="preserve"> mit den bereits vorgefertigten Fabrikaten durch. Bezahlen Sie die </t>
    </r>
    <r>
      <rPr>
        <b/>
        <sz val="8"/>
        <color theme="1"/>
        <rFont val="Calibri"/>
        <family val="2"/>
        <scheme val="minor"/>
      </rPr>
      <t>Montagekosten</t>
    </r>
    <r>
      <rPr>
        <sz val="8"/>
        <color theme="1"/>
        <rFont val="Calibri"/>
        <family val="2"/>
        <scheme val="minor"/>
      </rPr>
      <t xml:space="preserve"> (1 M pro Los) aus </t>
    </r>
    <r>
      <rPr>
        <b/>
        <sz val="8"/>
        <color theme="1"/>
        <rFont val="Calibri"/>
        <family val="2"/>
        <scheme val="minor"/>
      </rPr>
      <t>Kassa und Bankguthaben</t>
    </r>
  </si>
  <si>
    <r>
      <t xml:space="preserve">Starten Sie neue Produktionsaufträge in der </t>
    </r>
    <r>
      <rPr>
        <b/>
        <sz val="8"/>
        <color theme="1"/>
        <rFont val="Calibri"/>
        <family val="2"/>
        <scheme val="minor"/>
      </rPr>
      <t>Fertigungsstufe 1</t>
    </r>
    <r>
      <rPr>
        <sz val="8"/>
        <color theme="1"/>
        <rFont val="Calibri"/>
        <family val="2"/>
        <scheme val="minor"/>
      </rPr>
      <t xml:space="preserve"> und bezahlen Sie die </t>
    </r>
    <r>
      <rPr>
        <b/>
        <sz val="8"/>
        <color theme="1"/>
        <rFont val="Calibri"/>
        <family val="2"/>
        <scheme val="minor"/>
      </rPr>
      <t>Produktionskosten</t>
    </r>
    <r>
      <rPr>
        <sz val="8"/>
        <color theme="1"/>
        <rFont val="Calibri"/>
        <family val="2"/>
        <scheme val="minor"/>
      </rPr>
      <t xml:space="preserve"> (3 M pro Los)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</si>
  <si>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r>
      <t xml:space="preserve">Nehmen Sie die </t>
    </r>
    <r>
      <rPr>
        <b/>
        <sz val="8"/>
        <color theme="1"/>
        <rFont val="Calibri"/>
        <family val="2"/>
        <scheme val="minor"/>
      </rPr>
      <t>Rohmateriallieferung</t>
    </r>
    <r>
      <rPr>
        <sz val="8"/>
        <color theme="1"/>
        <rFont val="Calibri"/>
        <family val="2"/>
        <scheme val="minor"/>
      </rPr>
      <t xml:space="preserve"> der Lieferanten (2 Lose) entgegen. Stellen Sie die Lieferung ins </t>
    </r>
    <r>
      <rPr>
        <b/>
        <sz val="8"/>
        <color theme="1"/>
        <rFont val="Calibri"/>
        <family val="2"/>
        <scheme val="minor"/>
      </rPr>
      <t>Materiallager</t>
    </r>
    <r>
      <rPr>
        <sz val="8"/>
        <color theme="1"/>
        <rFont val="Calibri"/>
        <family val="2"/>
        <scheme val="minor"/>
      </rPr>
      <t>.</t>
    </r>
  </si>
  <si>
    <r>
      <t>Bezahlen Sie das R</t>
    </r>
    <r>
      <rPr>
        <b/>
        <sz val="8"/>
        <color theme="1"/>
        <rFont val="Calibri"/>
        <family val="2"/>
        <scheme val="minor"/>
      </rPr>
      <t xml:space="preserve">ohmaterial </t>
    </r>
    <r>
      <rPr>
        <sz val="8"/>
        <color theme="1"/>
        <rFont val="Calibri"/>
        <family val="2"/>
        <scheme val="minor"/>
      </rPr>
      <t xml:space="preserve">(3 M pro Los)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</si>
  <si>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r>
      <t xml:space="preserve">Bestellen Sie </t>
    </r>
    <r>
      <rPr>
        <b/>
        <sz val="8"/>
        <color theme="1"/>
        <rFont val="Calibri"/>
        <family val="2"/>
        <scheme val="minor"/>
      </rPr>
      <t>Rohmaterial</t>
    </r>
    <r>
      <rPr>
        <sz val="8"/>
        <color theme="1"/>
        <rFont val="Calibri"/>
        <family val="2"/>
        <scheme val="minor"/>
      </rPr>
      <t xml:space="preserve"> für das nächste Quartal. Platzieren Sie 2 leere Werteträger bei den </t>
    </r>
    <r>
      <rPr>
        <b/>
        <sz val="8"/>
        <color theme="1"/>
        <rFont val="Calibri"/>
        <family val="2"/>
        <scheme val="minor"/>
      </rPr>
      <t>Lieferanten</t>
    </r>
    <r>
      <rPr>
        <sz val="8"/>
        <color theme="1"/>
        <rFont val="Calibri"/>
        <family val="2"/>
        <scheme val="minor"/>
      </rPr>
      <t>.</t>
    </r>
  </si>
  <si>
    <r>
      <t xml:space="preserve">Bezahlen Sie die </t>
    </r>
    <r>
      <rPr>
        <b/>
        <sz val="8"/>
        <color theme="1"/>
        <rFont val="Calibri"/>
        <family val="2"/>
        <scheme val="minor"/>
      </rPr>
      <t>Gemeinkosten</t>
    </r>
    <r>
      <rPr>
        <sz val="8"/>
        <color theme="1"/>
        <rFont val="Calibri"/>
        <family val="2"/>
        <scheme val="minor"/>
      </rPr>
      <t xml:space="preserve"> für Verwaltung, Vertrieb sowie Forschung und Entwicklung (6 M)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</si>
  <si>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t>Q1</t>
  </si>
  <si>
    <t>Q2</t>
  </si>
  <si>
    <t>Q3</t>
  </si>
  <si>
    <t>Q4</t>
  </si>
  <si>
    <t>Auftragsnummer</t>
  </si>
  <si>
    <t>Liefertermin</t>
  </si>
  <si>
    <t>01/Q1</t>
  </si>
  <si>
    <t>01/Q2</t>
  </si>
  <si>
    <t>01/Q3</t>
  </si>
  <si>
    <t>01/Q4</t>
  </si>
  <si>
    <t>Menge (in Losen)</t>
  </si>
  <si>
    <t>Auftragswert</t>
  </si>
  <si>
    <t>Herstellungskosten</t>
  </si>
  <si>
    <t>Rechnung gestellt</t>
  </si>
  <si>
    <t>Jahr 01</t>
  </si>
  <si>
    <t>Jahr 01 Abrechnungstabelle</t>
  </si>
  <si>
    <t>Jahr 01 (Checkliste A)</t>
  </si>
  <si>
    <t>Jahr 01 (Checkliste B) am Jahresende</t>
  </si>
  <si>
    <t>Aufgabe</t>
  </si>
  <si>
    <r>
      <t xml:space="preserve">Legen Sie die Beträge in den Werteträger </t>
    </r>
    <r>
      <rPr>
        <b/>
        <sz val="8"/>
        <color theme="1"/>
        <rFont val="Calibri"/>
        <family val="2"/>
        <scheme val="minor"/>
      </rPr>
      <t>Abschreibungen</t>
    </r>
    <r>
      <rPr>
        <sz val="8"/>
        <color theme="1"/>
        <rFont val="Calibri"/>
        <family val="2"/>
        <scheme val="minor"/>
      </rPr>
      <t xml:space="preserve"> in der GuV</t>
    </r>
  </si>
  <si>
    <r>
      <t xml:space="preserve">AfA für </t>
    </r>
    <r>
      <rPr>
        <b/>
        <sz val="8"/>
        <color theme="1"/>
        <rFont val="Calibri"/>
        <family val="2"/>
        <scheme val="minor"/>
      </rPr>
      <t>Gebäude</t>
    </r>
    <r>
      <rPr>
        <sz val="8"/>
        <color theme="1"/>
        <rFont val="Calibri"/>
        <family val="2"/>
        <scheme val="minor"/>
      </rPr>
      <t xml:space="preserve"> (1 M)</t>
    </r>
  </si>
  <si>
    <r>
      <t xml:space="preserve">AfA für </t>
    </r>
    <r>
      <rPr>
        <b/>
        <sz val="8"/>
        <color theme="1"/>
        <rFont val="Calibri"/>
        <family val="2"/>
        <scheme val="minor"/>
      </rPr>
      <t>Maschinen</t>
    </r>
    <r>
      <rPr>
        <sz val="8"/>
        <color theme="1"/>
        <rFont val="Calibri"/>
        <family val="2"/>
        <scheme val="minor"/>
      </rPr>
      <t xml:space="preserve"> (5 M)</t>
    </r>
  </si>
  <si>
    <r>
      <t xml:space="preserve">Führen Sie die </t>
    </r>
    <r>
      <rPr>
        <b/>
        <sz val="8"/>
        <color theme="1"/>
        <rFont val="Calibri"/>
        <family val="2"/>
        <scheme val="minor"/>
      </rPr>
      <t>Abschreibung (AfA)</t>
    </r>
    <r>
      <rPr>
        <sz val="8"/>
        <color theme="1"/>
        <rFont val="Calibri"/>
        <family val="2"/>
        <scheme val="minor"/>
      </rPr>
      <t xml:space="preserve"> durch. Entnehmen Sie dazu den Werteträgern auf den entsprechenden Feldern im Anlagevermögen:</t>
    </r>
  </si>
  <si>
    <r>
      <t xml:space="preserve">Entnehmen Sie den entsprechenden Betrag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 xml:space="preserve"> und legen Sie diesen in den Werteträger auf dem Feld </t>
    </r>
    <r>
      <rPr>
        <b/>
        <sz val="8"/>
        <color theme="1"/>
        <rFont val="Calibri"/>
        <family val="2"/>
        <scheme val="minor"/>
      </rPr>
      <t>Zinsen</t>
    </r>
  </si>
  <si>
    <r>
      <t xml:space="preserve">Bezahlen Sie die </t>
    </r>
    <r>
      <rPr>
        <b/>
        <sz val="8"/>
        <color theme="1"/>
        <rFont val="Calibri"/>
        <family val="2"/>
        <scheme val="minor"/>
      </rPr>
      <t>Zinsen</t>
    </r>
    <r>
      <rPr>
        <sz val="8"/>
        <color theme="1"/>
        <rFont val="Calibri"/>
        <family val="2"/>
        <scheme val="minor"/>
      </rPr>
      <t xml:space="preserve"> für die in Anspruch genommen Kredite. Der Zinssatz beträgt 10% p.a. und ihr Kreditvolumen beläuft sich auf 100 M.</t>
    </r>
  </si>
  <si>
    <t>Erstellen Sie eine staffelförmige GuV-Rechnung</t>
  </si>
  <si>
    <t>Gewinn- und Verlustrechnung (in M)</t>
  </si>
  <si>
    <t>Umsatzerlöse</t>
  </si>
  <si>
    <t>Jahr 00</t>
  </si>
  <si>
    <t>- Herstellungskosten</t>
  </si>
  <si>
    <t>Deckungsbeitrag</t>
  </si>
  <si>
    <t>- Gemeinkosten</t>
  </si>
  <si>
    <t>- Abschreibungen (AfA)</t>
  </si>
  <si>
    <t>EBIT (Betriebsergebnis)</t>
  </si>
  <si>
    <t>- Zinsen</t>
  </si>
  <si>
    <t>- Steuern (1/3)</t>
  </si>
  <si>
    <t xml:space="preserve">Jahresergebnis vor Steuern </t>
  </si>
  <si>
    <t xml:space="preserve">Jahresergebnis nach Steuern </t>
  </si>
  <si>
    <t>Buchen Sie die Steuerverbindlichkeiten</t>
  </si>
  <si>
    <t>Legen Sie dazu 1M (von außen !!) in einen Werteträger</t>
  </si>
  <si>
    <t>auf dem Feld kurzfristige Verbindlichkeiten</t>
  </si>
  <si>
    <t>Jahr 01 (JA_GuV)</t>
  </si>
  <si>
    <t>Jahr 01 (JA_Bil)</t>
  </si>
  <si>
    <t>Anlagevermögen</t>
  </si>
  <si>
    <t>Grundstücke</t>
  </si>
  <si>
    <t>Gebäude</t>
  </si>
  <si>
    <t>Maschinen</t>
  </si>
  <si>
    <t>Betriebs- und Geschäfsausstattung</t>
  </si>
  <si>
    <t>Summe Anlagevermögen</t>
  </si>
  <si>
    <t>Umlaufvermögen</t>
  </si>
  <si>
    <t>Vorräte</t>
  </si>
  <si>
    <t>Roh-, Hilfs- und Betriebsstoffe</t>
  </si>
  <si>
    <t>unfertige Erzeugnisse</t>
  </si>
  <si>
    <t>fertige Erzeugnisse</t>
  </si>
  <si>
    <t>Forderungen</t>
  </si>
  <si>
    <t>Kassa und Bankguthaben</t>
  </si>
  <si>
    <t>Summe Umlaufvermögen</t>
  </si>
  <si>
    <t>SUMME AKTIVA</t>
  </si>
  <si>
    <t>Eigenkapital</t>
  </si>
  <si>
    <t>AKTIVA</t>
  </si>
  <si>
    <t>PASSIVA</t>
  </si>
  <si>
    <t>Grundkapital</t>
  </si>
  <si>
    <t>Gewinnrücklage</t>
  </si>
  <si>
    <t>Gewinn/(Verlust lfd. Jahr n. Steuern</t>
  </si>
  <si>
    <t>Summe Eigenkapital</t>
  </si>
  <si>
    <t>Erstellen Sie die Bilanz</t>
  </si>
  <si>
    <t>Fremdkapital</t>
  </si>
  <si>
    <t>Langfristiges Fremdkapital</t>
  </si>
  <si>
    <t>Kurzfristiges Fremdkapital</t>
  </si>
  <si>
    <t>Summe Fremdkapital</t>
  </si>
  <si>
    <t>Jahr 01 (JA_KPIs)</t>
  </si>
  <si>
    <t xml:space="preserve">Deckungsbeitrag </t>
  </si>
  <si>
    <t xml:space="preserve">Gemeinkosten + Abschreibungen </t>
  </si>
  <si>
    <t xml:space="preserve">EBIT </t>
  </si>
  <si>
    <t xml:space="preserve"> Vorräte</t>
  </si>
  <si>
    <t xml:space="preserve"> Forderungen</t>
  </si>
  <si>
    <t xml:space="preserve"> Kassa und Bankguth.</t>
  </si>
  <si>
    <t xml:space="preserve">Gesamtvermögen bzw. -kap. </t>
  </si>
  <si>
    <t>Gesamtkapitalrentabilität (ROI)</t>
  </si>
  <si>
    <t xml:space="preserve">Zinsen + Steuern </t>
  </si>
  <si>
    <t xml:space="preserve">Gewinn/Verlust nach Steuern </t>
  </si>
  <si>
    <t>Eigenkapitalrentabilität (ROE)</t>
  </si>
  <si>
    <t xml:space="preserve">Umsatzrentabilität (ROS) </t>
  </si>
  <si>
    <t>Jahr 01 (JA_CashFlow-Statement)</t>
  </si>
  <si>
    <t>Gewinn nach Steuern</t>
  </si>
  <si>
    <t>Abschreibung (AfA)</t>
  </si>
  <si>
    <t>Zunahme der Vorräte</t>
  </si>
  <si>
    <t>Abnahme der Vorräte</t>
  </si>
  <si>
    <t>Zunahme der Forderungen</t>
  </si>
  <si>
    <t>Abnahme der Forderungen</t>
  </si>
  <si>
    <t>Zunahme der Verbindlichkeiten</t>
  </si>
  <si>
    <t>Abnahme der Verbindlichkeiten</t>
  </si>
  <si>
    <t>Investitionen</t>
  </si>
  <si>
    <t>Erlöse aus Anlagenabgängen</t>
  </si>
  <si>
    <t>Einzahlungen aus der Ausgabe von Aktien</t>
  </si>
  <si>
    <t>Bezahlte Dividenden</t>
  </si>
  <si>
    <t>Cash Flow aus der Finanzierungstätigkeit (10-13)</t>
  </si>
  <si>
    <t>Veränderungen der Zahlungsmittel (6+9+14)</t>
  </si>
  <si>
    <t>Cash Flow aus der Investitionstätigkeit (7-8)</t>
  </si>
  <si>
    <t>Cash Flow aus der Geschäftstätigkeit (1-5)</t>
  </si>
  <si>
    <t xml:space="preserve">Übertragen Sie die Ergebnisse aus der Gewinn- und Verlustrechnung </t>
  </si>
  <si>
    <t>und der Bilanz in die Kapitalflussrechnung (Cash Flow-Statement)</t>
  </si>
  <si>
    <t>Aufgabe:</t>
  </si>
  <si>
    <t xml:space="preserve">Übertragen Sie die Ergebnisse aus der GuV und der Bilanz in das Erfolgskennzahlen-System, die sogenannte DuPont-Matrix, </t>
  </si>
  <si>
    <t>Berechnen Sie die Rentabilität genauer die Gesamtkapitalrentabilität (ROI) und die Eigenkapitalrentabilität (ROE)</t>
  </si>
  <si>
    <t>Ermitteln Sie außerdem die Umsatzrentabilität (ROS)</t>
  </si>
  <si>
    <t>Umsatzrendite = (EBIT * 100)/Umsatzerlöse</t>
  </si>
  <si>
    <t>Gesamtkapitalrendite = (EBIT * 100) / Gesamtkapital</t>
  </si>
  <si>
    <t>Eigenkapitalrendite = (Gewinn/Verlust nach Steuern / Eigenkapital</t>
  </si>
  <si>
    <t>Summe</t>
  </si>
  <si>
    <r>
      <t xml:space="preserve">AfA für </t>
    </r>
    <r>
      <rPr>
        <b/>
        <sz val="8"/>
        <color theme="1"/>
        <rFont val="Calibri"/>
        <family val="2"/>
        <scheme val="minor"/>
      </rPr>
      <t>Betriebs- und Geschäftsausstattung</t>
    </r>
    <r>
      <rPr>
        <sz val="8"/>
        <color theme="1"/>
        <rFont val="Calibri"/>
        <family val="2"/>
        <scheme val="minor"/>
      </rPr>
      <t xml:space="preserve"> (3 M)</t>
    </r>
  </si>
  <si>
    <t>Zunahme der Verbindlichkeiten aus L. &amp; L.</t>
  </si>
  <si>
    <t>* L. &amp; L. heißt Lieferungen und Leistungen (auf Ziel)</t>
  </si>
  <si>
    <t>** ohne Verbindlichkeiten aus Lieferungen und Leistungen</t>
  </si>
  <si>
    <t>SUMME PASSIVA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</si>
</sst>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65"/>
        <bgColor theme="8" tint="0.79998168889431442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1"/>
        <bgColor theme="8" tint="0.79998168889431442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medium">
        <color auto="1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n">
        <color indexed="64"/>
      </bottom>
      <diagonal/>
    </border>
    <border>
      <left/>
      <right/>
      <top style="thick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medium">
        <color auto="1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1"/>
      </bottom>
      <diagonal/>
    </border>
    <border>
      <left/>
      <right style="thick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ck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theme="0"/>
      </left>
      <right style="thick">
        <color theme="0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2" borderId="0" xfId="0" applyFill="1"/>
    <xf numFmtId="0" fontId="5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0" fillId="2" borderId="1" xfId="0" quotePrefix="1" applyFill="1" applyBorder="1"/>
    <xf numFmtId="0" fontId="0" fillId="2" borderId="1" xfId="0" applyFill="1" applyBorder="1"/>
    <xf numFmtId="0" fontId="0" fillId="2" borderId="0" xfId="0" quotePrefix="1" applyFill="1"/>
    <xf numFmtId="0" fontId="0" fillId="5" borderId="0" xfId="0" applyFill="1" applyProtection="1">
      <protection locked="0"/>
    </xf>
    <xf numFmtId="0" fontId="0" fillId="0" borderId="1" xfId="0" quotePrefix="1" applyBorder="1"/>
    <xf numFmtId="0" fontId="0" fillId="0" borderId="1" xfId="0" applyBorder="1"/>
    <xf numFmtId="0" fontId="0" fillId="3" borderId="0" xfId="0" applyFill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0" fillId="5" borderId="2" xfId="0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0" fillId="2" borderId="9" xfId="0" applyFill="1" applyBorder="1"/>
    <xf numFmtId="0" fontId="0" fillId="5" borderId="11" xfId="0" applyFill="1" applyBorder="1" applyProtection="1">
      <protection locked="0"/>
    </xf>
    <xf numFmtId="0" fontId="3" fillId="0" borderId="1" xfId="0" quotePrefix="1" applyFont="1" applyBorder="1"/>
    <xf numFmtId="0" fontId="0" fillId="5" borderId="12" xfId="0" applyFill="1" applyBorder="1" applyProtection="1">
      <protection locked="0"/>
    </xf>
    <xf numFmtId="0" fontId="3" fillId="2" borderId="0" xfId="0" quotePrefix="1" applyFont="1" applyFill="1"/>
    <xf numFmtId="0" fontId="0" fillId="0" borderId="13" xfId="0" quotePrefix="1" applyBorder="1"/>
    <xf numFmtId="0" fontId="0" fillId="0" borderId="13" xfId="0" applyBorder="1"/>
    <xf numFmtId="0" fontId="0" fillId="2" borderId="13" xfId="0" quotePrefix="1" applyFill="1" applyBorder="1"/>
    <xf numFmtId="0" fontId="0" fillId="2" borderId="13" xfId="0" applyFill="1" applyBorder="1"/>
    <xf numFmtId="0" fontId="3" fillId="2" borderId="1" xfId="0" quotePrefix="1" applyFont="1" applyFill="1" applyBorder="1"/>
    <xf numFmtId="0" fontId="0" fillId="0" borderId="16" xfId="0" applyBorder="1"/>
    <xf numFmtId="0" fontId="0" fillId="0" borderId="15" xfId="0" applyBorder="1"/>
    <xf numFmtId="0" fontId="3" fillId="7" borderId="17" xfId="0" applyFont="1" applyFill="1" applyBorder="1"/>
    <xf numFmtId="0" fontId="0" fillId="5" borderId="18" xfId="0" applyFill="1" applyBorder="1" applyProtection="1">
      <protection locked="0"/>
    </xf>
    <xf numFmtId="0" fontId="0" fillId="7" borderId="17" xfId="0" applyFill="1" applyBorder="1"/>
    <xf numFmtId="0" fontId="4" fillId="8" borderId="0" xfId="0" applyFont="1" applyFill="1"/>
    <xf numFmtId="0" fontId="3" fillId="2" borderId="1" xfId="0" applyFont="1" applyFill="1" applyBorder="1"/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0" fillId="2" borderId="0" xfId="0" applyFill="1" applyProtection="1">
      <protection locked="0"/>
    </xf>
    <xf numFmtId="0" fontId="3" fillId="7" borderId="20" xfId="0" applyFont="1" applyFill="1" applyBorder="1"/>
    <xf numFmtId="0" fontId="0" fillId="7" borderId="20" xfId="0" applyFill="1" applyBorder="1"/>
    <xf numFmtId="0" fontId="0" fillId="0" borderId="19" xfId="0" applyBorder="1"/>
    <xf numFmtId="0" fontId="0" fillId="0" borderId="21" xfId="0" applyBorder="1"/>
    <xf numFmtId="0" fontId="3" fillId="0" borderId="19" xfId="0" quotePrefix="1" applyFont="1" applyBorder="1"/>
    <xf numFmtId="0" fontId="0" fillId="5" borderId="23" xfId="0" applyFill="1" applyBorder="1" applyProtection="1">
      <protection locked="0"/>
    </xf>
    <xf numFmtId="0" fontId="0" fillId="5" borderId="22" xfId="0" applyFill="1" applyBorder="1" applyProtection="1">
      <protection locked="0"/>
    </xf>
    <xf numFmtId="0" fontId="0" fillId="10" borderId="26" xfId="0" applyFill="1" applyBorder="1"/>
    <xf numFmtId="0" fontId="0" fillId="10" borderId="27" xfId="0" applyFill="1" applyBorder="1"/>
    <xf numFmtId="0" fontId="0" fillId="9" borderId="28" xfId="0" applyFill="1" applyBorder="1"/>
    <xf numFmtId="9" fontId="0" fillId="9" borderId="28" xfId="1" applyFont="1" applyFill="1" applyBorder="1"/>
    <xf numFmtId="0" fontId="0" fillId="0" borderId="32" xfId="0" applyBorder="1"/>
    <xf numFmtId="0" fontId="0" fillId="0" borderId="31" xfId="0" applyBorder="1"/>
    <xf numFmtId="0" fontId="0" fillId="0" borderId="34" xfId="0" applyBorder="1"/>
    <xf numFmtId="0" fontId="0" fillId="0" borderId="33" xfId="0" applyBorder="1"/>
    <xf numFmtId="0" fontId="0" fillId="11" borderId="29" xfId="0" applyFill="1" applyBorder="1" applyProtection="1">
      <protection locked="0"/>
    </xf>
    <xf numFmtId="0" fontId="0" fillId="5" borderId="30" xfId="0" applyFill="1" applyBorder="1" applyProtection="1">
      <protection locked="0"/>
    </xf>
    <xf numFmtId="0" fontId="0" fillId="5" borderId="35" xfId="0" applyFill="1" applyBorder="1" applyProtection="1">
      <protection locked="0"/>
    </xf>
    <xf numFmtId="0" fontId="2" fillId="0" borderId="0" xfId="0" applyFont="1"/>
    <xf numFmtId="0" fontId="9" fillId="0" borderId="0" xfId="0" applyFont="1"/>
    <xf numFmtId="0" fontId="8" fillId="0" borderId="0" xfId="0" applyFont="1"/>
    <xf numFmtId="0" fontId="9" fillId="5" borderId="0" xfId="0" applyFont="1" applyFill="1"/>
    <xf numFmtId="0" fontId="0" fillId="13" borderId="0" xfId="0" applyFill="1"/>
    <xf numFmtId="0" fontId="10" fillId="6" borderId="0" xfId="0" applyFont="1" applyFill="1"/>
    <xf numFmtId="0" fontId="11" fillId="6" borderId="0" xfId="0" applyFont="1" applyFill="1"/>
    <xf numFmtId="0" fontId="11" fillId="0" borderId="0" xfId="0" applyFont="1"/>
    <xf numFmtId="0" fontId="12" fillId="6" borderId="0" xfId="0" applyFont="1" applyFill="1"/>
    <xf numFmtId="0" fontId="5" fillId="5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5" borderId="3" xfId="0" applyFont="1" applyFill="1" applyBorder="1" applyProtection="1">
      <protection locked="0"/>
    </xf>
    <xf numFmtId="0" fontId="8" fillId="5" borderId="2" xfId="0" applyFont="1" applyFill="1" applyBorder="1" applyProtection="1">
      <protection locked="0"/>
    </xf>
    <xf numFmtId="0" fontId="2" fillId="12" borderId="24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5" xfId="0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image" Target="../media/image6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40162</xdr:colOff>
          <xdr:row>1</xdr:row>
          <xdr:rowOff>152036</xdr:rowOff>
        </xdr:from>
        <xdr:to>
          <xdr:col>4</xdr:col>
          <xdr:colOff>78262</xdr:colOff>
          <xdr:row>3</xdr:row>
          <xdr:rowOff>7732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40162" y="574904"/>
              <a:ext cx="1076430" cy="458597"/>
              <a:chOff x="0" y="243111"/>
              <a:chExt cx="948856" cy="441617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36415</xdr:colOff>
          <xdr:row>2</xdr:row>
          <xdr:rowOff>316928</xdr:rowOff>
        </xdr:from>
        <xdr:to>
          <xdr:col>4</xdr:col>
          <xdr:colOff>74515</xdr:colOff>
          <xdr:row>4</xdr:row>
          <xdr:rowOff>78935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36415" y="924016"/>
              <a:ext cx="1076430" cy="465391"/>
              <a:chOff x="0" y="243111"/>
              <a:chExt cx="948856" cy="441617"/>
            </a:xfrm>
          </xdr:grpSpPr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31229</xdr:colOff>
          <xdr:row>3</xdr:row>
          <xdr:rowOff>262328</xdr:rowOff>
        </xdr:from>
        <xdr:to>
          <xdr:col>4</xdr:col>
          <xdr:colOff>69329</xdr:colOff>
          <xdr:row>5</xdr:row>
          <xdr:rowOff>24336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31229" y="1288097"/>
              <a:ext cx="1076430" cy="465393"/>
              <a:chOff x="0" y="243111"/>
              <a:chExt cx="948856" cy="441617"/>
            </a:xfrm>
          </xdr:grpSpPr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39974</xdr:colOff>
          <xdr:row>4</xdr:row>
          <xdr:rowOff>321039</xdr:rowOff>
        </xdr:from>
        <xdr:to>
          <xdr:col>4</xdr:col>
          <xdr:colOff>78074</xdr:colOff>
          <xdr:row>6</xdr:row>
          <xdr:rowOff>83047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9974" y="1631511"/>
              <a:ext cx="1076430" cy="465393"/>
              <a:chOff x="0" y="243111"/>
              <a:chExt cx="948856" cy="441617"/>
            </a:xfrm>
          </xdr:grpSpPr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29981</xdr:colOff>
          <xdr:row>6</xdr:row>
          <xdr:rowOff>111177</xdr:rowOff>
        </xdr:from>
        <xdr:to>
          <xdr:col>4</xdr:col>
          <xdr:colOff>68081</xdr:colOff>
          <xdr:row>6</xdr:row>
          <xdr:rowOff>553988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29981" y="2125034"/>
              <a:ext cx="1076430" cy="442811"/>
              <a:chOff x="0" y="243111"/>
              <a:chExt cx="948856" cy="441617"/>
            </a:xfrm>
          </xdr:grpSpPr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38725</xdr:colOff>
          <xdr:row>7</xdr:row>
          <xdr:rowOff>32479</xdr:rowOff>
        </xdr:from>
        <xdr:to>
          <xdr:col>4</xdr:col>
          <xdr:colOff>76825</xdr:colOff>
          <xdr:row>7</xdr:row>
          <xdr:rowOff>475290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38725" y="2603182"/>
              <a:ext cx="1076430" cy="442811"/>
              <a:chOff x="0" y="243111"/>
              <a:chExt cx="948856" cy="441617"/>
            </a:xfrm>
          </xdr:grpSpPr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34978</xdr:colOff>
          <xdr:row>7</xdr:row>
          <xdr:rowOff>503420</xdr:rowOff>
        </xdr:from>
        <xdr:to>
          <xdr:col>4</xdr:col>
          <xdr:colOff>73078</xdr:colOff>
          <xdr:row>9</xdr:row>
          <xdr:rowOff>9345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34978" y="3074123"/>
              <a:ext cx="1076430" cy="481453"/>
              <a:chOff x="0" y="243111"/>
              <a:chExt cx="948856" cy="441617"/>
            </a:xfrm>
          </xdr:grpSpPr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37476</xdr:colOff>
          <xdr:row>8</xdr:row>
          <xdr:rowOff>312295</xdr:rowOff>
        </xdr:from>
        <xdr:to>
          <xdr:col>4</xdr:col>
          <xdr:colOff>75576</xdr:colOff>
          <xdr:row>10</xdr:row>
          <xdr:rowOff>74303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37476" y="3439844"/>
              <a:ext cx="1076430" cy="465393"/>
              <a:chOff x="0" y="243111"/>
              <a:chExt cx="948856" cy="441617"/>
            </a:xfrm>
          </xdr:grpSpPr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43722</xdr:colOff>
          <xdr:row>9</xdr:row>
          <xdr:rowOff>256082</xdr:rowOff>
        </xdr:from>
        <xdr:to>
          <xdr:col>4</xdr:col>
          <xdr:colOff>81822</xdr:colOff>
          <xdr:row>11</xdr:row>
          <xdr:rowOff>18090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43722" y="3802313"/>
              <a:ext cx="1076430" cy="465392"/>
              <a:chOff x="0" y="243111"/>
              <a:chExt cx="948856" cy="441617"/>
            </a:xfrm>
          </xdr:grpSpPr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31229</xdr:colOff>
          <xdr:row>10</xdr:row>
          <xdr:rowOff>393492</xdr:rowOff>
        </xdr:from>
        <xdr:to>
          <xdr:col>4</xdr:col>
          <xdr:colOff>69329</xdr:colOff>
          <xdr:row>12</xdr:row>
          <xdr:rowOff>24335</xdr:rowOff>
        </xdr:to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31229" y="4224426"/>
              <a:ext cx="1076430" cy="468206"/>
              <a:chOff x="0" y="243111"/>
              <a:chExt cx="948856" cy="441617"/>
            </a:xfrm>
          </xdr:grpSpPr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440871</xdr:colOff>
          <xdr:row>1</xdr:row>
          <xdr:rowOff>48986</xdr:rowOff>
        </xdr:from>
        <xdr:to>
          <xdr:col>5</xdr:col>
          <xdr:colOff>734786</xdr:colOff>
          <xdr:row>3</xdr:row>
          <xdr:rowOff>97971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440871</xdr:colOff>
          <xdr:row>2</xdr:row>
          <xdr:rowOff>0</xdr:rowOff>
        </xdr:from>
        <xdr:to>
          <xdr:col>5</xdr:col>
          <xdr:colOff>669471</xdr:colOff>
          <xdr:row>2</xdr:row>
          <xdr:rowOff>174171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440871</xdr:colOff>
          <xdr:row>3</xdr:row>
          <xdr:rowOff>10886</xdr:rowOff>
        </xdr:from>
        <xdr:to>
          <xdr:col>5</xdr:col>
          <xdr:colOff>669471</xdr:colOff>
          <xdr:row>3</xdr:row>
          <xdr:rowOff>179614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440871</xdr:colOff>
          <xdr:row>4</xdr:row>
          <xdr:rowOff>10886</xdr:rowOff>
        </xdr:from>
        <xdr:to>
          <xdr:col>5</xdr:col>
          <xdr:colOff>669471</xdr:colOff>
          <xdr:row>4</xdr:row>
          <xdr:rowOff>179614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440871</xdr:colOff>
          <xdr:row>5</xdr:row>
          <xdr:rowOff>10886</xdr:rowOff>
        </xdr:from>
        <xdr:to>
          <xdr:col>5</xdr:col>
          <xdr:colOff>669471</xdr:colOff>
          <xdr:row>5</xdr:row>
          <xdr:rowOff>179614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201386</xdr:colOff>
          <xdr:row>1</xdr:row>
          <xdr:rowOff>381000</xdr:rowOff>
        </xdr:from>
        <xdr:to>
          <xdr:col>0</xdr:col>
          <xdr:colOff>506186</xdr:colOff>
          <xdr:row>3</xdr:row>
          <xdr:rowOff>21771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201386</xdr:colOff>
          <xdr:row>3</xdr:row>
          <xdr:rowOff>277586</xdr:rowOff>
        </xdr:from>
        <xdr:to>
          <xdr:col>0</xdr:col>
          <xdr:colOff>506186</xdr:colOff>
          <xdr:row>5</xdr:row>
          <xdr:rowOff>136071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212271</xdr:colOff>
          <xdr:row>4</xdr:row>
          <xdr:rowOff>59871</xdr:rowOff>
        </xdr:from>
        <xdr:to>
          <xdr:col>0</xdr:col>
          <xdr:colOff>517071</xdr:colOff>
          <xdr:row>6</xdr:row>
          <xdr:rowOff>136071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212271</xdr:colOff>
          <xdr:row>5</xdr:row>
          <xdr:rowOff>48986</xdr:rowOff>
        </xdr:from>
        <xdr:to>
          <xdr:col>0</xdr:col>
          <xdr:colOff>517071</xdr:colOff>
          <xdr:row>7</xdr:row>
          <xdr:rowOff>125186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29309</xdr:colOff>
      <xdr:row>6</xdr:row>
      <xdr:rowOff>0</xdr:rowOff>
    </xdr:from>
    <xdr:to>
      <xdr:col>1</xdr:col>
      <xdr:colOff>263770</xdr:colOff>
      <xdr:row>7</xdr:row>
      <xdr:rowOff>5861</xdr:rowOff>
    </xdr:to>
    <xdr:pic>
      <xdr:nvPicPr>
        <xdr:cNvPr id="3" name="Graphic 2" descr="Badge Unfollow with solid fill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9155" y="1400908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41032</xdr:colOff>
      <xdr:row>5</xdr:row>
      <xdr:rowOff>23446</xdr:rowOff>
    </xdr:from>
    <xdr:to>
      <xdr:col>1</xdr:col>
      <xdr:colOff>263770</xdr:colOff>
      <xdr:row>6</xdr:row>
      <xdr:rowOff>17584</xdr:rowOff>
    </xdr:to>
    <xdr:pic>
      <xdr:nvPicPr>
        <xdr:cNvPr id="7" name="Graphic 6" descr="Badge Follow with solid fill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40878" y="1148861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23447</xdr:colOff>
      <xdr:row>6</xdr:row>
      <xdr:rowOff>228600</xdr:rowOff>
    </xdr:from>
    <xdr:to>
      <xdr:col>1</xdr:col>
      <xdr:colOff>263769</xdr:colOff>
      <xdr:row>8</xdr:row>
      <xdr:rowOff>11722</xdr:rowOff>
    </xdr:to>
    <xdr:pic>
      <xdr:nvPicPr>
        <xdr:cNvPr id="9" name="Graphic 8" descr="Badge Tick1 with solid fill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23293" y="1770185"/>
          <a:ext cx="240322" cy="24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7</xdr:row>
      <xdr:rowOff>216877</xdr:rowOff>
    </xdr:from>
    <xdr:to>
      <xdr:col>1</xdr:col>
      <xdr:colOff>269631</xdr:colOff>
      <xdr:row>8</xdr:row>
      <xdr:rowOff>222738</xdr:rowOff>
    </xdr:to>
    <xdr:pic>
      <xdr:nvPicPr>
        <xdr:cNvPr id="10" name="Graphic 9" descr="Badge Unfollow with solid fill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35016" y="1992923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9</xdr:row>
      <xdr:rowOff>1</xdr:rowOff>
    </xdr:from>
    <xdr:to>
      <xdr:col>1</xdr:col>
      <xdr:colOff>263769</xdr:colOff>
      <xdr:row>10</xdr:row>
      <xdr:rowOff>5862</xdr:rowOff>
    </xdr:to>
    <xdr:pic>
      <xdr:nvPicPr>
        <xdr:cNvPr id="11" name="Graphic 10" descr="Badge Unfollow with solid fill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662" y="2180493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29309</xdr:colOff>
      <xdr:row>9</xdr:row>
      <xdr:rowOff>221719</xdr:rowOff>
    </xdr:from>
    <xdr:to>
      <xdr:col>1</xdr:col>
      <xdr:colOff>269631</xdr:colOff>
      <xdr:row>11</xdr:row>
      <xdr:rowOff>5670</xdr:rowOff>
    </xdr:to>
    <xdr:pic>
      <xdr:nvPicPr>
        <xdr:cNvPr id="12" name="Graphic 11" descr="Badge Tick1 with solid fill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15918" y="2395904"/>
          <a:ext cx="240322" cy="239494"/>
        </a:xfrm>
        <a:prstGeom prst="rect">
          <a:avLst/>
        </a:prstGeom>
      </xdr:spPr>
    </xdr:pic>
    <xdr:clientData/>
  </xdr:twoCellAnchor>
  <xdr:twoCellAnchor editAs="oneCell">
    <xdr:from>
      <xdr:col>1</xdr:col>
      <xdr:colOff>31029</xdr:colOff>
      <xdr:row>10</xdr:row>
      <xdr:rowOff>223821</xdr:rowOff>
    </xdr:from>
    <xdr:to>
      <xdr:col>1</xdr:col>
      <xdr:colOff>265490</xdr:colOff>
      <xdr:row>12</xdr:row>
      <xdr:rowOff>1910</xdr:rowOff>
    </xdr:to>
    <xdr:pic>
      <xdr:nvPicPr>
        <xdr:cNvPr id="13" name="Graphic 12" descr="Badge Unfollow with solid fill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7638" y="2625778"/>
          <a:ext cx="234461" cy="2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36890</xdr:colOff>
      <xdr:row>11</xdr:row>
      <xdr:rowOff>222101</xdr:rowOff>
    </xdr:from>
    <xdr:to>
      <xdr:col>1</xdr:col>
      <xdr:colOff>277212</xdr:colOff>
      <xdr:row>13</xdr:row>
      <xdr:rowOff>6051</xdr:rowOff>
    </xdr:to>
    <xdr:pic>
      <xdr:nvPicPr>
        <xdr:cNvPr id="14" name="Graphic 13" descr="Badge Tick1 with solid fill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23499" y="2851829"/>
          <a:ext cx="240322" cy="239494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12</xdr:row>
      <xdr:rowOff>226241</xdr:rowOff>
    </xdr:from>
    <xdr:to>
      <xdr:col>1</xdr:col>
      <xdr:colOff>269631</xdr:colOff>
      <xdr:row>14</xdr:row>
      <xdr:rowOff>4331</xdr:rowOff>
    </xdr:to>
    <xdr:pic>
      <xdr:nvPicPr>
        <xdr:cNvPr id="15" name="Graphic 14" descr="Badge Unfollow with solid fill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1779" y="3083741"/>
          <a:ext cx="234461" cy="233633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13</xdr:row>
      <xdr:rowOff>226242</xdr:rowOff>
    </xdr:from>
    <xdr:to>
      <xdr:col>1</xdr:col>
      <xdr:colOff>275492</xdr:colOff>
      <xdr:row>15</xdr:row>
      <xdr:rowOff>10192</xdr:rowOff>
    </xdr:to>
    <xdr:pic>
      <xdr:nvPicPr>
        <xdr:cNvPr id="16" name="Graphic 15" descr="Badge Tick1 with solid fill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21779" y="3311514"/>
          <a:ext cx="240322" cy="23949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59871</xdr:colOff>
          <xdr:row>16</xdr:row>
          <xdr:rowOff>174171</xdr:rowOff>
        </xdr:from>
        <xdr:to>
          <xdr:col>1</xdr:col>
          <xdr:colOff>288471</xdr:colOff>
          <xdr:row>17</xdr:row>
          <xdr:rowOff>174171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41032</xdr:colOff>
      <xdr:row>5</xdr:row>
      <xdr:rowOff>23446</xdr:rowOff>
    </xdr:from>
    <xdr:to>
      <xdr:col>1</xdr:col>
      <xdr:colOff>263770</xdr:colOff>
      <xdr:row>6</xdr:row>
      <xdr:rowOff>17584</xdr:rowOff>
    </xdr:to>
    <xdr:pic>
      <xdr:nvPicPr>
        <xdr:cNvPr id="3" name="Graphic 2" descr="Badge Follow with solid fill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7972" y="128836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38687</xdr:colOff>
      <xdr:row>8</xdr:row>
      <xdr:rowOff>220980</xdr:rowOff>
    </xdr:from>
    <xdr:to>
      <xdr:col>1</xdr:col>
      <xdr:colOff>279009</xdr:colOff>
      <xdr:row>10</xdr:row>
      <xdr:rowOff>4102</xdr:rowOff>
    </xdr:to>
    <xdr:pic>
      <xdr:nvPicPr>
        <xdr:cNvPr id="4" name="Graphic 3" descr="Badge Tick1 with solid fill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5627" y="2171700"/>
          <a:ext cx="240322" cy="24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36890</xdr:colOff>
      <xdr:row>18</xdr:row>
      <xdr:rowOff>1121</xdr:rowOff>
    </xdr:from>
    <xdr:to>
      <xdr:col>1</xdr:col>
      <xdr:colOff>277212</xdr:colOff>
      <xdr:row>19</xdr:row>
      <xdr:rowOff>13671</xdr:rowOff>
    </xdr:to>
    <xdr:pic>
      <xdr:nvPicPr>
        <xdr:cNvPr id="9" name="Graphic 8" descr="Badge Tick1 with solid fill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3830" y="4009241"/>
          <a:ext cx="240322" cy="241150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18</xdr:row>
      <xdr:rowOff>226242</xdr:rowOff>
    </xdr:from>
    <xdr:to>
      <xdr:col>1</xdr:col>
      <xdr:colOff>275492</xdr:colOff>
      <xdr:row>20</xdr:row>
      <xdr:rowOff>10192</xdr:rowOff>
    </xdr:to>
    <xdr:pic>
      <xdr:nvPicPr>
        <xdr:cNvPr id="11" name="Graphic 10" descr="Badge Tick1 with solid fill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2110" y="3319962"/>
          <a:ext cx="240322" cy="24115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41032</xdr:colOff>
      <xdr:row>6</xdr:row>
      <xdr:rowOff>8206</xdr:rowOff>
    </xdr:from>
    <xdr:to>
      <xdr:col>1</xdr:col>
      <xdr:colOff>263770</xdr:colOff>
      <xdr:row>7</xdr:row>
      <xdr:rowOff>2344</xdr:rowOff>
    </xdr:to>
    <xdr:pic>
      <xdr:nvPicPr>
        <xdr:cNvPr id="12" name="Graphic 11" descr="Badge Follow with solid fill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7972" y="150172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41032</xdr:colOff>
      <xdr:row>7</xdr:row>
      <xdr:rowOff>8206</xdr:rowOff>
    </xdr:from>
    <xdr:to>
      <xdr:col>1</xdr:col>
      <xdr:colOff>263770</xdr:colOff>
      <xdr:row>8</xdr:row>
      <xdr:rowOff>2344</xdr:rowOff>
    </xdr:to>
    <xdr:pic>
      <xdr:nvPicPr>
        <xdr:cNvPr id="13" name="Graphic 12" descr="Badge Follow with solid fill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7972" y="173032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48652</xdr:colOff>
      <xdr:row>8</xdr:row>
      <xdr:rowOff>586</xdr:rowOff>
    </xdr:from>
    <xdr:to>
      <xdr:col>1</xdr:col>
      <xdr:colOff>271390</xdr:colOff>
      <xdr:row>8</xdr:row>
      <xdr:rowOff>223324</xdr:rowOff>
    </xdr:to>
    <xdr:pic>
      <xdr:nvPicPr>
        <xdr:cNvPr id="14" name="Graphic 13" descr="Badge Follow with solid fill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5592" y="195130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0</xdr:rowOff>
    </xdr:from>
    <xdr:to>
      <xdr:col>1</xdr:col>
      <xdr:colOff>268458</xdr:colOff>
      <xdr:row>13</xdr:row>
      <xdr:rowOff>222738</xdr:rowOff>
    </xdr:to>
    <xdr:pic>
      <xdr:nvPicPr>
        <xdr:cNvPr id="15" name="Graphic 14" descr="Badge Follow with solid fill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2660" y="309372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14</xdr:row>
      <xdr:rowOff>7620</xdr:rowOff>
    </xdr:from>
    <xdr:to>
      <xdr:col>1</xdr:col>
      <xdr:colOff>268458</xdr:colOff>
      <xdr:row>15</xdr:row>
      <xdr:rowOff>1758</xdr:rowOff>
    </xdr:to>
    <xdr:pic>
      <xdr:nvPicPr>
        <xdr:cNvPr id="16" name="Graphic 15" descr="Badge Follow with solid fill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2660" y="332994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16</xdr:row>
      <xdr:rowOff>0</xdr:rowOff>
    </xdr:from>
    <xdr:to>
      <xdr:col>1</xdr:col>
      <xdr:colOff>276078</xdr:colOff>
      <xdr:row>16</xdr:row>
      <xdr:rowOff>222738</xdr:rowOff>
    </xdr:to>
    <xdr:pic>
      <xdr:nvPicPr>
        <xdr:cNvPr id="17" name="Graphic 16" descr="Badge Follow with solid fill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40280" y="355092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15240</xdr:rowOff>
    </xdr:from>
    <xdr:to>
      <xdr:col>1</xdr:col>
      <xdr:colOff>260838</xdr:colOff>
      <xdr:row>18</xdr:row>
      <xdr:rowOff>9378</xdr:rowOff>
    </xdr:to>
    <xdr:pic>
      <xdr:nvPicPr>
        <xdr:cNvPr id="18" name="Graphic 17" descr="Badge Follow with solid fill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5040" y="379476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15</xdr:row>
      <xdr:rowOff>0</xdr:rowOff>
    </xdr:from>
    <xdr:to>
      <xdr:col>1</xdr:col>
      <xdr:colOff>268458</xdr:colOff>
      <xdr:row>15</xdr:row>
      <xdr:rowOff>222738</xdr:rowOff>
    </xdr:to>
    <xdr:pic>
      <xdr:nvPicPr>
        <xdr:cNvPr id="19" name="Graphic 18" descr="Badge Follow with solid fill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2660" y="3550920"/>
          <a:ext cx="222738" cy="222738"/>
        </a:xfrm>
        <a:prstGeom prst="rect">
          <a:avLst/>
        </a:prstGeom>
      </xdr:spPr>
    </xdr:pic>
    <xdr:clientData/>
  </xdr:twoCellAnchor>
  <xdr:oneCellAnchor>
    <xdr:from>
      <xdr:col>1</xdr:col>
      <xdr:colOff>77030</xdr:colOff>
      <xdr:row>22</xdr:row>
      <xdr:rowOff>170241</xdr:rowOff>
    </xdr:from>
    <xdr:ext cx="222738" cy="222738"/>
    <xdr:pic>
      <xdr:nvPicPr>
        <xdr:cNvPr id="20" name="Graphic 19" descr="Badge Follow with solid fil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63970" y="5237541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38687</xdr:colOff>
      <xdr:row>25</xdr:row>
      <xdr:rowOff>175260</xdr:rowOff>
    </xdr:from>
    <xdr:ext cx="240322" cy="240322"/>
    <xdr:pic>
      <xdr:nvPicPr>
        <xdr:cNvPr id="21" name="Graphic 20" descr="Badge Tick1 with solid fill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5627" y="5829300"/>
          <a:ext cx="240322" cy="240322"/>
        </a:xfrm>
        <a:prstGeom prst="rect">
          <a:avLst/>
        </a:prstGeom>
      </xdr:spPr>
    </xdr:pic>
    <xdr:clientData/>
  </xdr:oneCellAnchor>
  <xdr:oneCellAnchor>
    <xdr:from>
      <xdr:col>1</xdr:col>
      <xdr:colOff>50028</xdr:colOff>
      <xdr:row>31</xdr:row>
      <xdr:rowOff>214411</xdr:rowOff>
    </xdr:from>
    <xdr:ext cx="240322" cy="241150"/>
    <xdr:pic>
      <xdr:nvPicPr>
        <xdr:cNvPr id="22" name="Graphic 21" descr="Badge Tick1 with solid fill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36968" y="7102891"/>
          <a:ext cx="240322" cy="241150"/>
        </a:xfrm>
        <a:prstGeom prst="rect">
          <a:avLst/>
        </a:prstGeom>
      </xdr:spPr>
    </xdr:pic>
    <xdr:clientData/>
  </xdr:oneCellAnchor>
  <xdr:oneCellAnchor>
    <xdr:from>
      <xdr:col>1</xdr:col>
      <xdr:colOff>67308</xdr:colOff>
      <xdr:row>23</xdr:row>
      <xdr:rowOff>187758</xdr:rowOff>
    </xdr:from>
    <xdr:ext cx="222738" cy="222738"/>
    <xdr:pic>
      <xdr:nvPicPr>
        <xdr:cNvPr id="24" name="Graphic 23" descr="Badge Follow with solid fill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2584" y="5438551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63892</xdr:colOff>
      <xdr:row>24</xdr:row>
      <xdr:rowOff>183466</xdr:rowOff>
    </xdr:from>
    <xdr:ext cx="222738" cy="222738"/>
    <xdr:pic>
      <xdr:nvPicPr>
        <xdr:cNvPr id="25" name="Graphic 24" descr="Badge Follow with solid fill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0832" y="5639386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54478</xdr:colOff>
      <xdr:row>28</xdr:row>
      <xdr:rowOff>179552</xdr:rowOff>
    </xdr:from>
    <xdr:ext cx="222738" cy="222738"/>
    <xdr:pic>
      <xdr:nvPicPr>
        <xdr:cNvPr id="27" name="Graphic 26" descr="Badge Follow with solid fill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9754" y="6402552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58858</xdr:colOff>
      <xdr:row>29</xdr:row>
      <xdr:rowOff>178413</xdr:rowOff>
    </xdr:from>
    <xdr:ext cx="222738" cy="222738"/>
    <xdr:pic>
      <xdr:nvPicPr>
        <xdr:cNvPr id="28" name="Graphic 27" descr="Badge Follow with solid fill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44134" y="6594103"/>
          <a:ext cx="222738" cy="222738"/>
        </a:xfrm>
        <a:prstGeom prst="rect">
          <a:avLst/>
        </a:prstGeom>
      </xdr:spPr>
    </xdr:pic>
    <xdr:clientData/>
  </xdr:oneCellAnchor>
  <xdr:twoCellAnchor editAs="oneCell">
    <xdr:from>
      <xdr:col>1</xdr:col>
      <xdr:colOff>253738</xdr:colOff>
      <xdr:row>24</xdr:row>
      <xdr:rowOff>176345</xdr:rowOff>
    </xdr:from>
    <xdr:to>
      <xdr:col>1</xdr:col>
      <xdr:colOff>484965</xdr:colOff>
      <xdr:row>26</xdr:row>
      <xdr:rowOff>20789</xdr:rowOff>
    </xdr:to>
    <xdr:pic>
      <xdr:nvPicPr>
        <xdr:cNvPr id="32" name="Graphic 31" descr="Badge Unfollow with solid fill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40678" y="5632265"/>
          <a:ext cx="231227" cy="233064"/>
        </a:xfrm>
        <a:prstGeom prst="rect">
          <a:avLst/>
        </a:prstGeom>
      </xdr:spPr>
    </xdr:pic>
    <xdr:clientData/>
  </xdr:twoCellAnchor>
  <xdr:oneCellAnchor>
    <xdr:from>
      <xdr:col>1</xdr:col>
      <xdr:colOff>49811</xdr:colOff>
      <xdr:row>30</xdr:row>
      <xdr:rowOff>213623</xdr:rowOff>
    </xdr:from>
    <xdr:ext cx="240322" cy="240322"/>
    <xdr:pic>
      <xdr:nvPicPr>
        <xdr:cNvPr id="33" name="Graphic 32" descr="Badge Tick1 with solid fill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36751" y="6881123"/>
          <a:ext cx="240322" cy="24032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8</xdr:row>
      <xdr:rowOff>167640</xdr:rowOff>
    </xdr:from>
    <xdr:to>
      <xdr:col>2</xdr:col>
      <xdr:colOff>325901</xdr:colOff>
      <xdr:row>10</xdr:row>
      <xdr:rowOff>21101</xdr:rowOff>
    </xdr:to>
    <xdr:pic>
      <xdr:nvPicPr>
        <xdr:cNvPr id="2" name="Graphic 1" descr="Badge Unfollow with solid fil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02080" y="1074420"/>
          <a:ext cx="234461" cy="234461"/>
        </a:xfrm>
        <a:prstGeom prst="rect">
          <a:avLst/>
        </a:prstGeom>
      </xdr:spPr>
    </xdr:pic>
    <xdr:clientData/>
  </xdr:twoCellAnchor>
  <xdr:twoCellAnchor>
    <xdr:from>
      <xdr:col>2</xdr:col>
      <xdr:colOff>274320</xdr:colOff>
      <xdr:row>7</xdr:row>
      <xdr:rowOff>53340</xdr:rowOff>
    </xdr:from>
    <xdr:to>
      <xdr:col>2</xdr:col>
      <xdr:colOff>487680</xdr:colOff>
      <xdr:row>11</xdr:row>
      <xdr:rowOff>144780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584960" y="769620"/>
          <a:ext cx="213360" cy="853440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5</xdr:col>
      <xdr:colOff>160020</xdr:colOff>
      <xdr:row>10</xdr:row>
      <xdr:rowOff>167640</xdr:rowOff>
    </xdr:from>
    <xdr:to>
      <xdr:col>5</xdr:col>
      <xdr:colOff>394481</xdr:colOff>
      <xdr:row>12</xdr:row>
      <xdr:rowOff>21101</xdr:rowOff>
    </xdr:to>
    <xdr:pic>
      <xdr:nvPicPr>
        <xdr:cNvPr id="4" name="Graphic 3" descr="Badge Unfollow with solid fil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91940" y="1455420"/>
          <a:ext cx="234461" cy="234461"/>
        </a:xfrm>
        <a:prstGeom prst="rect">
          <a:avLst/>
        </a:prstGeom>
      </xdr:spPr>
    </xdr:pic>
    <xdr:clientData/>
  </xdr:twoCellAnchor>
  <xdr:twoCellAnchor>
    <xdr:from>
      <xdr:col>5</xdr:col>
      <xdr:colOff>350520</xdr:colOff>
      <xdr:row>9</xdr:row>
      <xdr:rowOff>53340</xdr:rowOff>
    </xdr:from>
    <xdr:to>
      <xdr:col>5</xdr:col>
      <xdr:colOff>563880</xdr:colOff>
      <xdr:row>13</xdr:row>
      <xdr:rowOff>144780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282440" y="1150620"/>
          <a:ext cx="213360" cy="853440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>
    <xdr:from>
      <xdr:col>2</xdr:col>
      <xdr:colOff>320040</xdr:colOff>
      <xdr:row>18</xdr:row>
      <xdr:rowOff>38100</xdr:rowOff>
    </xdr:from>
    <xdr:to>
      <xdr:col>2</xdr:col>
      <xdr:colOff>487680</xdr:colOff>
      <xdr:row>31</xdr:row>
      <xdr:rowOff>53340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630680" y="2827020"/>
          <a:ext cx="167640" cy="2438400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2</xdr:col>
      <xdr:colOff>129540</xdr:colOff>
      <xdr:row>24</xdr:row>
      <xdr:rowOff>0</xdr:rowOff>
    </xdr:from>
    <xdr:to>
      <xdr:col>2</xdr:col>
      <xdr:colOff>352278</xdr:colOff>
      <xdr:row>25</xdr:row>
      <xdr:rowOff>32238</xdr:rowOff>
    </xdr:to>
    <xdr:pic>
      <xdr:nvPicPr>
        <xdr:cNvPr id="7" name="Graphic 6" descr="Badge Follow with solid fill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180" y="390906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10</xdr:row>
      <xdr:rowOff>99060</xdr:rowOff>
    </xdr:from>
    <xdr:to>
      <xdr:col>8</xdr:col>
      <xdr:colOff>318281</xdr:colOff>
      <xdr:row>11</xdr:row>
      <xdr:rowOff>143021</xdr:rowOff>
    </xdr:to>
    <xdr:pic>
      <xdr:nvPicPr>
        <xdr:cNvPr id="8" name="Graphic 7" descr="Badge Unfollow with solid fill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35140" y="1386840"/>
          <a:ext cx="234461" cy="23446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2</xdr:row>
          <xdr:rowOff>21771</xdr:rowOff>
        </xdr:from>
        <xdr:to>
          <xdr:col>0</xdr:col>
          <xdr:colOff>484414</xdr:colOff>
          <xdr:row>3</xdr:row>
          <xdr:rowOff>38100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277586</xdr:colOff>
          <xdr:row>2</xdr:row>
          <xdr:rowOff>277586</xdr:rowOff>
        </xdr:from>
        <xdr:to>
          <xdr:col>0</xdr:col>
          <xdr:colOff>495300</xdr:colOff>
          <xdr:row>4</xdr:row>
          <xdr:rowOff>10886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210868</xdr:colOff>
      <xdr:row>5</xdr:row>
      <xdr:rowOff>210576</xdr:rowOff>
    </xdr:from>
    <xdr:to>
      <xdr:col>1</xdr:col>
      <xdr:colOff>435511</xdr:colOff>
      <xdr:row>7</xdr:row>
      <xdr:rowOff>2589</xdr:rowOff>
    </xdr:to>
    <xdr:pic>
      <xdr:nvPicPr>
        <xdr:cNvPr id="2" name="Graphic 1" descr="Badge Follow with solid fil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9003" y="774749"/>
          <a:ext cx="217023" cy="20705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212480</xdr:colOff>
      <xdr:row>8</xdr:row>
      <xdr:rowOff>0</xdr:rowOff>
    </xdr:from>
    <xdr:to>
      <xdr:col>1</xdr:col>
      <xdr:colOff>437123</xdr:colOff>
      <xdr:row>9</xdr:row>
      <xdr:rowOff>2198</xdr:rowOff>
    </xdr:to>
    <xdr:pic>
      <xdr:nvPicPr>
        <xdr:cNvPr id="3" name="Graphic 2" descr="Badge Follow with solid fil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0615" y="1201615"/>
          <a:ext cx="22083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217902</xdr:colOff>
      <xdr:row>10</xdr:row>
      <xdr:rowOff>7327</xdr:rowOff>
    </xdr:from>
    <xdr:to>
      <xdr:col>1</xdr:col>
      <xdr:colOff>436830</xdr:colOff>
      <xdr:row>11</xdr:row>
      <xdr:rowOff>19050</xdr:rowOff>
    </xdr:to>
    <xdr:pic>
      <xdr:nvPicPr>
        <xdr:cNvPr id="4" name="Graphic 3" descr="Badge Follow with solid fil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6037" y="1633904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212480</xdr:colOff>
      <xdr:row>11</xdr:row>
      <xdr:rowOff>7327</xdr:rowOff>
    </xdr:from>
    <xdr:to>
      <xdr:col>1</xdr:col>
      <xdr:colOff>440933</xdr:colOff>
      <xdr:row>12</xdr:row>
      <xdr:rowOff>19051</xdr:rowOff>
    </xdr:to>
    <xdr:pic>
      <xdr:nvPicPr>
        <xdr:cNvPr id="5" name="Graphic 4" descr="Badge Follow with solid fil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0615" y="1846385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205154</xdr:colOff>
      <xdr:row>15</xdr:row>
      <xdr:rowOff>0</xdr:rowOff>
    </xdr:from>
    <xdr:to>
      <xdr:col>1</xdr:col>
      <xdr:colOff>441227</xdr:colOff>
      <xdr:row>16</xdr:row>
      <xdr:rowOff>2198</xdr:rowOff>
    </xdr:to>
    <xdr:pic>
      <xdr:nvPicPr>
        <xdr:cNvPr id="6" name="Graphic 5" descr="Badge Follow with solid fil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3289" y="2688981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205153</xdr:colOff>
      <xdr:row>17</xdr:row>
      <xdr:rowOff>7327</xdr:rowOff>
    </xdr:from>
    <xdr:to>
      <xdr:col>1</xdr:col>
      <xdr:colOff>441226</xdr:colOff>
      <xdr:row>18</xdr:row>
      <xdr:rowOff>19050</xdr:rowOff>
    </xdr:to>
    <xdr:pic>
      <xdr:nvPicPr>
        <xdr:cNvPr id="7" name="Graphic 6" descr="Badge Follow with solid fill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3288" y="3121269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19</xdr:row>
      <xdr:rowOff>0</xdr:rowOff>
    </xdr:from>
    <xdr:to>
      <xdr:col>1</xdr:col>
      <xdr:colOff>440934</xdr:colOff>
      <xdr:row>20</xdr:row>
      <xdr:rowOff>2198</xdr:rowOff>
    </xdr:to>
    <xdr:pic>
      <xdr:nvPicPr>
        <xdr:cNvPr id="8" name="Graphic 7" descr="Badge Follow with solid fill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0616" y="3538904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205154</xdr:rowOff>
    </xdr:from>
    <xdr:to>
      <xdr:col>1</xdr:col>
      <xdr:colOff>438296</xdr:colOff>
      <xdr:row>8</xdr:row>
      <xdr:rowOff>16559</xdr:rowOff>
    </xdr:to>
    <xdr:pic>
      <xdr:nvPicPr>
        <xdr:cNvPr id="9" name="Graphic 8" descr="Badge Unfollow with solid fill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8635" y="981808"/>
          <a:ext cx="238271" cy="2325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205154</xdr:rowOff>
    </xdr:from>
    <xdr:to>
      <xdr:col>1</xdr:col>
      <xdr:colOff>434486</xdr:colOff>
      <xdr:row>8</xdr:row>
      <xdr:rowOff>16559</xdr:rowOff>
    </xdr:to>
    <xdr:pic>
      <xdr:nvPicPr>
        <xdr:cNvPr id="10" name="Graphic 9" descr="Badge Unfollow with solid fill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8635" y="981808"/>
          <a:ext cx="236366" cy="236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197826</xdr:colOff>
      <xdr:row>9</xdr:row>
      <xdr:rowOff>0</xdr:rowOff>
    </xdr:from>
    <xdr:to>
      <xdr:col>1</xdr:col>
      <xdr:colOff>441812</xdr:colOff>
      <xdr:row>10</xdr:row>
      <xdr:rowOff>20075</xdr:rowOff>
    </xdr:to>
    <xdr:pic>
      <xdr:nvPicPr>
        <xdr:cNvPr id="11" name="Graphic 10" descr="Badge Unfollow with solid fill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1" y="1414096"/>
          <a:ext cx="240176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11</xdr:row>
      <xdr:rowOff>201343</xdr:rowOff>
    </xdr:from>
    <xdr:to>
      <xdr:col>1</xdr:col>
      <xdr:colOff>439908</xdr:colOff>
      <xdr:row>13</xdr:row>
      <xdr:rowOff>16558</xdr:rowOff>
    </xdr:to>
    <xdr:pic>
      <xdr:nvPicPr>
        <xdr:cNvPr id="12" name="Graphic 11" descr="Badge Unfollow with solid fill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2040401"/>
          <a:ext cx="245891" cy="236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14</xdr:row>
      <xdr:rowOff>0</xdr:rowOff>
    </xdr:from>
    <xdr:to>
      <xdr:col>1</xdr:col>
      <xdr:colOff>439908</xdr:colOff>
      <xdr:row>15</xdr:row>
      <xdr:rowOff>20075</xdr:rowOff>
    </xdr:to>
    <xdr:pic>
      <xdr:nvPicPr>
        <xdr:cNvPr id="13" name="Graphic 12" descr="Badge Unfollow with solid fill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2476500"/>
          <a:ext cx="245891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18</xdr:row>
      <xdr:rowOff>0</xdr:rowOff>
    </xdr:from>
    <xdr:to>
      <xdr:col>1</xdr:col>
      <xdr:colOff>439908</xdr:colOff>
      <xdr:row>19</xdr:row>
      <xdr:rowOff>20075</xdr:rowOff>
    </xdr:to>
    <xdr:pic>
      <xdr:nvPicPr>
        <xdr:cNvPr id="14" name="Graphic 13" descr="Badge Unfollow with solid fill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3326423"/>
          <a:ext cx="245891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19</xdr:row>
      <xdr:rowOff>205154</xdr:rowOff>
    </xdr:from>
    <xdr:to>
      <xdr:col>1</xdr:col>
      <xdr:colOff>439908</xdr:colOff>
      <xdr:row>21</xdr:row>
      <xdr:rowOff>16559</xdr:rowOff>
    </xdr:to>
    <xdr:pic>
      <xdr:nvPicPr>
        <xdr:cNvPr id="15" name="Graphic 14" descr="Badge Unfollow with solid fill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3744058"/>
          <a:ext cx="245891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199732</xdr:colOff>
      <xdr:row>12</xdr:row>
      <xdr:rowOff>194311</xdr:rowOff>
    </xdr:from>
    <xdr:to>
      <xdr:col>1</xdr:col>
      <xdr:colOff>441959</xdr:colOff>
      <xdr:row>14</xdr:row>
      <xdr:rowOff>16215</xdr:rowOff>
    </xdr:to>
    <xdr:pic>
      <xdr:nvPicPr>
        <xdr:cNvPr id="16" name="Graphic 15" descr="Badge Tick1 with solid fill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7867" y="2245849"/>
          <a:ext cx="23841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15</xdr:row>
      <xdr:rowOff>197827</xdr:rowOff>
    </xdr:from>
    <xdr:to>
      <xdr:col>1</xdr:col>
      <xdr:colOff>440054</xdr:colOff>
      <xdr:row>17</xdr:row>
      <xdr:rowOff>19732</xdr:rowOff>
    </xdr:to>
    <xdr:pic>
      <xdr:nvPicPr>
        <xdr:cNvPr id="17" name="Graphic 16" descr="Badge Tick1 with solid fill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5962" y="2886808"/>
          <a:ext cx="24603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20</xdr:row>
      <xdr:rowOff>205154</xdr:rowOff>
    </xdr:from>
    <xdr:to>
      <xdr:col>1</xdr:col>
      <xdr:colOff>440054</xdr:colOff>
      <xdr:row>22</xdr:row>
      <xdr:rowOff>19439</xdr:rowOff>
    </xdr:to>
    <xdr:pic>
      <xdr:nvPicPr>
        <xdr:cNvPr id="18" name="Graphic 17" descr="Badge Tick1 with solid fill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5962" y="3956539"/>
          <a:ext cx="24603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</xdr:row>
      <xdr:rowOff>197828</xdr:rowOff>
    </xdr:from>
    <xdr:to>
      <xdr:col>1</xdr:col>
      <xdr:colOff>440347</xdr:colOff>
      <xdr:row>23</xdr:row>
      <xdr:rowOff>17827</xdr:rowOff>
    </xdr:to>
    <xdr:pic>
      <xdr:nvPicPr>
        <xdr:cNvPr id="19" name="Graphic 18" descr="Badge Tick1 with solid fill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98635" y="4161693"/>
          <a:ext cx="246037" cy="2411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terholzer Stefan" id="{FD0EF5B0-27E2-4A1A-A486-F10B859BA6BD}" userId="S::P20016@fhooe.at::6a077e09-2621-4617-a214-6a0ae6f4ad8b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1-02T13:34:05.84" personId="{FD0EF5B0-27E2-4A1A-A486-F10B859BA6BD}" id="{D08A6A90-0787-423E-9B89-D55E286F446D}">
    <text>Die durchgeführten Schritte hier abhaken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microsoft.com/office/2017/10/relationships/threadedComment" Target="../threadedComments/threadedComment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1.xml"/><Relationship Id="rId7" Type="http://schemas.openxmlformats.org/officeDocument/2006/relationships/ctrlProp" Target="../ctrlProps/ctrlProp4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4.xml"/><Relationship Id="rId5" Type="http://schemas.openxmlformats.org/officeDocument/2006/relationships/ctrlProp" Target="../ctrlProps/ctrlProp43.xml"/><Relationship Id="rId4" Type="http://schemas.openxmlformats.org/officeDocument/2006/relationships/ctrlProp" Target="../ctrlProps/ctrlProp4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9.xml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5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130" zoomScaleNormal="130" workbookViewId="0">
      <selection activeCell="B9" sqref="B9"/>
    </sheetView>
  </sheetViews>
  <sheetFormatPr baseColWidth="10" defaultColWidth="9.23046875" defaultRowHeight="14.6" x14ac:dyDescent="0.4"/>
  <cols>
    <col min="1" max="4" width="3.69140625" customWidth="1"/>
    <col min="5" max="5" width="30.84375" style="1" customWidth="1"/>
  </cols>
  <sheetData>
    <row r="1" spans="1:5" s="68" customFormat="1" ht="33.65" customHeight="1" x14ac:dyDescent="0.5">
      <c r="A1" s="66" t="s">
        <v>26</v>
      </c>
      <c r="B1" s="66"/>
      <c r="C1" s="66"/>
      <c r="D1" s="66"/>
      <c r="E1" s="66"/>
    </row>
    <row r="2" spans="1:5" x14ac:dyDescent="0.4">
      <c r="A2" s="70" t="s">
        <v>10</v>
      </c>
      <c r="B2" s="70" t="s">
        <v>11</v>
      </c>
      <c r="C2" s="70" t="s">
        <v>12</v>
      </c>
      <c r="D2" s="70" t="s">
        <v>13</v>
      </c>
    </row>
    <row r="3" spans="1:5" ht="33" x14ac:dyDescent="0.4">
      <c r="A3" s="42"/>
      <c r="B3" s="42"/>
      <c r="C3" s="42"/>
      <c r="D3" s="42"/>
      <c r="E3" s="4" t="s">
        <v>0</v>
      </c>
    </row>
    <row r="4" spans="1:5" ht="22.3" x14ac:dyDescent="0.4">
      <c r="A4" s="71"/>
      <c r="B4" s="71"/>
      <c r="C4" s="71"/>
      <c r="D4" s="71"/>
      <c r="E4" s="2" t="s">
        <v>1</v>
      </c>
    </row>
    <row r="5" spans="1:5" ht="33" x14ac:dyDescent="0.4">
      <c r="A5" s="42"/>
      <c r="B5" s="42"/>
      <c r="C5" s="42"/>
      <c r="D5" s="42"/>
      <c r="E5" s="4" t="s">
        <v>2</v>
      </c>
    </row>
    <row r="6" spans="1:5" ht="22.3" x14ac:dyDescent="0.4">
      <c r="A6" s="71"/>
      <c r="B6" s="71"/>
      <c r="C6" s="71"/>
      <c r="D6" s="71"/>
      <c r="E6" s="2" t="s">
        <v>3</v>
      </c>
    </row>
    <row r="7" spans="1:5" ht="43.75" x14ac:dyDescent="0.4">
      <c r="A7" s="42"/>
      <c r="B7" s="42"/>
      <c r="C7" s="42"/>
      <c r="D7" s="42"/>
      <c r="E7" s="4" t="s">
        <v>4</v>
      </c>
    </row>
    <row r="8" spans="1:5" ht="43.75" x14ac:dyDescent="0.4">
      <c r="A8" s="71"/>
      <c r="B8" s="71"/>
      <c r="C8" s="71"/>
      <c r="D8" s="71"/>
      <c r="E8" s="2" t="s">
        <v>5</v>
      </c>
    </row>
    <row r="9" spans="1:5" ht="33" x14ac:dyDescent="0.4">
      <c r="A9" s="42"/>
      <c r="B9" s="42"/>
      <c r="C9" s="42"/>
      <c r="D9" s="42"/>
      <c r="E9" s="4" t="s">
        <v>6</v>
      </c>
    </row>
    <row r="10" spans="1:5" ht="22.3" x14ac:dyDescent="0.4">
      <c r="A10" s="71"/>
      <c r="B10" s="71"/>
      <c r="C10" s="71"/>
      <c r="D10" s="71"/>
      <c r="E10" s="2" t="s">
        <v>7</v>
      </c>
    </row>
    <row r="11" spans="1:5" ht="33" x14ac:dyDescent="0.4">
      <c r="A11" s="42"/>
      <c r="B11" s="42"/>
      <c r="C11" s="42"/>
      <c r="D11" s="42"/>
      <c r="E11" s="4" t="s">
        <v>8</v>
      </c>
    </row>
    <row r="12" spans="1:5" ht="33" x14ac:dyDescent="0.4">
      <c r="A12" s="71"/>
      <c r="B12" s="71"/>
      <c r="C12" s="71"/>
      <c r="D12" s="71"/>
      <c r="E12" s="2" t="s">
        <v>9</v>
      </c>
    </row>
    <row r="13" spans="1:5" x14ac:dyDescent="0.4">
      <c r="A13" s="71"/>
      <c r="B13" s="71"/>
      <c r="C13" s="71"/>
      <c r="D13" s="71"/>
    </row>
  </sheetData>
  <sheetProtection algorithmName="SHA-512" hashValue="NGGEJudwiVK7E29SiCB7MYt2cwv2VhRvyUHl3gCMElxu2VwM1ZPPOx83CE2nUa7kWBKMxx3RUjR2QjeMIClWDw==" saltValue="/Rh5kGWpIFvUzT3ktty4fA==" spinCount="100000" sheet="1" objects="1" scenarios="1" selectLockedCells="1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38100</xdr:colOff>
                    <xdr:row>1</xdr:row>
                    <xdr:rowOff>152400</xdr:rowOff>
                  </from>
                  <to>
                    <xdr:col>1</xdr:col>
                    <xdr:colOff>81643</xdr:colOff>
                    <xdr:row>3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1</xdr:row>
                    <xdr:rowOff>152400</xdr:rowOff>
                  </from>
                  <to>
                    <xdr:col>2</xdr:col>
                    <xdr:colOff>81643</xdr:colOff>
                    <xdr:row>3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1</xdr:row>
                    <xdr:rowOff>152400</xdr:rowOff>
                  </from>
                  <to>
                    <xdr:col>3</xdr:col>
                    <xdr:colOff>81643</xdr:colOff>
                    <xdr:row>3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27214</xdr:colOff>
                    <xdr:row>1</xdr:row>
                    <xdr:rowOff>152400</xdr:rowOff>
                  </from>
                  <to>
                    <xdr:col>4</xdr:col>
                    <xdr:colOff>76200</xdr:colOff>
                    <xdr:row>3</xdr:row>
                    <xdr:rowOff>5443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8" name="Check Box 28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315686</xdr:rowOff>
                  </from>
                  <to>
                    <xdr:col>1</xdr:col>
                    <xdr:colOff>76200</xdr:colOff>
                    <xdr:row>4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9" name="Check Box 29">
              <controlPr defaultSize="0" autoFill="0" autoLine="0" autoPict="0">
                <anchor moveWithCells="1">
                  <from>
                    <xdr:col>1</xdr:col>
                    <xdr:colOff>32657</xdr:colOff>
                    <xdr:row>2</xdr:row>
                    <xdr:rowOff>315686</xdr:rowOff>
                  </from>
                  <to>
                    <xdr:col>2</xdr:col>
                    <xdr:colOff>76200</xdr:colOff>
                    <xdr:row>4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0" name="Check Box 30">
              <controlPr defaultSize="0" autoFill="0" autoLine="0" autoPict="0">
                <anchor moveWithCells="1">
                  <from>
                    <xdr:col>2</xdr:col>
                    <xdr:colOff>32657</xdr:colOff>
                    <xdr:row>2</xdr:row>
                    <xdr:rowOff>315686</xdr:rowOff>
                  </from>
                  <to>
                    <xdr:col>3</xdr:col>
                    <xdr:colOff>76200</xdr:colOff>
                    <xdr:row>4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1" name="Check Box 31">
              <controlPr defaultSize="0" autoFill="0" autoLine="0" autoPict="0">
                <anchor moveWithCells="1">
                  <from>
                    <xdr:col>3</xdr:col>
                    <xdr:colOff>27214</xdr:colOff>
                    <xdr:row>2</xdr:row>
                    <xdr:rowOff>315686</xdr:rowOff>
                  </from>
                  <to>
                    <xdr:col>4</xdr:col>
                    <xdr:colOff>76200</xdr:colOff>
                    <xdr:row>4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2" name="Check Box 32">
              <controlPr defaultSize="0" autoFill="0" autoLine="0" autoPict="0">
                <anchor moveWithCells="1">
                  <from>
                    <xdr:col>0</xdr:col>
                    <xdr:colOff>32657</xdr:colOff>
                    <xdr:row>3</xdr:row>
                    <xdr:rowOff>261257</xdr:rowOff>
                  </from>
                  <to>
                    <xdr:col>1</xdr:col>
                    <xdr:colOff>70757</xdr:colOff>
                    <xdr:row>5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3" name="Check Box 33">
              <controlPr defaultSize="0" autoFill="0" autoLine="0" autoPict="0">
                <anchor moveWithCells="1">
                  <from>
                    <xdr:col>1</xdr:col>
                    <xdr:colOff>32657</xdr:colOff>
                    <xdr:row>3</xdr:row>
                    <xdr:rowOff>261257</xdr:rowOff>
                  </from>
                  <to>
                    <xdr:col>2</xdr:col>
                    <xdr:colOff>70757</xdr:colOff>
                    <xdr:row>5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4" name="Check Box 34">
              <controlPr defaultSize="0" autoFill="0" autoLine="0" autoPict="0">
                <anchor moveWithCells="1">
                  <from>
                    <xdr:col>2</xdr:col>
                    <xdr:colOff>27214</xdr:colOff>
                    <xdr:row>3</xdr:row>
                    <xdr:rowOff>261257</xdr:rowOff>
                  </from>
                  <to>
                    <xdr:col>3</xdr:col>
                    <xdr:colOff>70757</xdr:colOff>
                    <xdr:row>5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5" name="Check Box 35">
              <controlPr defaultSize="0" autoFill="0" autoLine="0" autoPict="0">
                <anchor moveWithCells="1">
                  <from>
                    <xdr:col>3</xdr:col>
                    <xdr:colOff>21771</xdr:colOff>
                    <xdr:row>3</xdr:row>
                    <xdr:rowOff>261257</xdr:rowOff>
                  </from>
                  <to>
                    <xdr:col>4</xdr:col>
                    <xdr:colOff>70757</xdr:colOff>
                    <xdr:row>5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6" name="Check Box 36">
              <controlPr defaultSize="0" autoFill="0" autoLine="0" autoPict="0">
                <anchor moveWithCells="1">
                  <from>
                    <xdr:col>0</xdr:col>
                    <xdr:colOff>38100</xdr:colOff>
                    <xdr:row>4</xdr:row>
                    <xdr:rowOff>321129</xdr:rowOff>
                  </from>
                  <to>
                    <xdr:col>1</xdr:col>
                    <xdr:colOff>81643</xdr:colOff>
                    <xdr:row>6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7" name="Check Box 37">
              <controlPr defaultSize="0" autoFill="0" autoLine="0" autoPict="0">
                <anchor moveWithCells="1">
                  <from>
                    <xdr:col>1</xdr:col>
                    <xdr:colOff>38100</xdr:colOff>
                    <xdr:row>4</xdr:row>
                    <xdr:rowOff>321129</xdr:rowOff>
                  </from>
                  <to>
                    <xdr:col>2</xdr:col>
                    <xdr:colOff>81643</xdr:colOff>
                    <xdr:row>6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8" name="Check Box 38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321129</xdr:rowOff>
                  </from>
                  <to>
                    <xdr:col>3</xdr:col>
                    <xdr:colOff>81643</xdr:colOff>
                    <xdr:row>6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9" name="Check Box 39">
              <controlPr defaultSize="0" autoFill="0" autoLine="0" autoPict="0">
                <anchor moveWithCells="1">
                  <from>
                    <xdr:col>3</xdr:col>
                    <xdr:colOff>27214</xdr:colOff>
                    <xdr:row>4</xdr:row>
                    <xdr:rowOff>321129</xdr:rowOff>
                  </from>
                  <to>
                    <xdr:col>4</xdr:col>
                    <xdr:colOff>76200</xdr:colOff>
                    <xdr:row>6</xdr:row>
                    <xdr:rowOff>81643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0" name="Check Box 40">
              <controlPr defaultSize="0" autoFill="0" autoLine="0" autoPict="0">
                <anchor moveWithCells="1">
                  <from>
                    <xdr:col>0</xdr:col>
                    <xdr:colOff>32657</xdr:colOff>
                    <xdr:row>6</xdr:row>
                    <xdr:rowOff>108857</xdr:rowOff>
                  </from>
                  <to>
                    <xdr:col>1</xdr:col>
                    <xdr:colOff>70757</xdr:colOff>
                    <xdr:row>6</xdr:row>
                    <xdr:rowOff>555171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1" name="Check Box 41">
              <controlPr defaultSize="0" autoFill="0" autoLine="0" autoPict="0">
                <anchor moveWithCells="1">
                  <from>
                    <xdr:col>1</xdr:col>
                    <xdr:colOff>27214</xdr:colOff>
                    <xdr:row>6</xdr:row>
                    <xdr:rowOff>108857</xdr:rowOff>
                  </from>
                  <to>
                    <xdr:col>2</xdr:col>
                    <xdr:colOff>70757</xdr:colOff>
                    <xdr:row>6</xdr:row>
                    <xdr:rowOff>555171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2" name="Check Box 42">
              <controlPr defaultSize="0" autoFill="0" autoLine="0" autoPict="0">
                <anchor moveWithCells="1">
                  <from>
                    <xdr:col>2</xdr:col>
                    <xdr:colOff>27214</xdr:colOff>
                    <xdr:row>6</xdr:row>
                    <xdr:rowOff>108857</xdr:rowOff>
                  </from>
                  <to>
                    <xdr:col>3</xdr:col>
                    <xdr:colOff>70757</xdr:colOff>
                    <xdr:row>6</xdr:row>
                    <xdr:rowOff>555171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3" name="Check Box 43">
              <controlPr defaultSize="0" autoFill="0" autoLine="0" autoPict="0">
                <anchor moveWithCells="1">
                  <from>
                    <xdr:col>3</xdr:col>
                    <xdr:colOff>16329</xdr:colOff>
                    <xdr:row>6</xdr:row>
                    <xdr:rowOff>108857</xdr:rowOff>
                  </from>
                  <to>
                    <xdr:col>4</xdr:col>
                    <xdr:colOff>70757</xdr:colOff>
                    <xdr:row>6</xdr:row>
                    <xdr:rowOff>555171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4" name="Check Box 44">
              <controlPr defaultSize="0" autoFill="0" autoLine="0" autoPict="0">
                <anchor moveWithCells="1">
                  <from>
                    <xdr:col>0</xdr:col>
                    <xdr:colOff>38100</xdr:colOff>
                    <xdr:row>7</xdr:row>
                    <xdr:rowOff>32657</xdr:rowOff>
                  </from>
                  <to>
                    <xdr:col>1</xdr:col>
                    <xdr:colOff>81643</xdr:colOff>
                    <xdr:row>7</xdr:row>
                    <xdr:rowOff>473529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5" name="Check Box 45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32657</xdr:rowOff>
                  </from>
                  <to>
                    <xdr:col>2</xdr:col>
                    <xdr:colOff>81643</xdr:colOff>
                    <xdr:row>7</xdr:row>
                    <xdr:rowOff>473529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6" name="Check Box 46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32657</xdr:rowOff>
                  </from>
                  <to>
                    <xdr:col>3</xdr:col>
                    <xdr:colOff>76200</xdr:colOff>
                    <xdr:row>7</xdr:row>
                    <xdr:rowOff>473529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7" name="Check Box 47">
              <controlPr defaultSize="0" autoFill="0" autoLine="0" autoPict="0">
                <anchor moveWithCells="1">
                  <from>
                    <xdr:col>3</xdr:col>
                    <xdr:colOff>27214</xdr:colOff>
                    <xdr:row>7</xdr:row>
                    <xdr:rowOff>32657</xdr:rowOff>
                  </from>
                  <to>
                    <xdr:col>4</xdr:col>
                    <xdr:colOff>76200</xdr:colOff>
                    <xdr:row>7</xdr:row>
                    <xdr:rowOff>473529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8" name="Check Box 48">
              <controlPr defaultSize="0" autoFill="0" autoLine="0" autoPict="0">
                <anchor moveWithCells="1">
                  <from>
                    <xdr:col>0</xdr:col>
                    <xdr:colOff>32657</xdr:colOff>
                    <xdr:row>7</xdr:row>
                    <xdr:rowOff>500743</xdr:rowOff>
                  </from>
                  <to>
                    <xdr:col>1</xdr:col>
                    <xdr:colOff>76200</xdr:colOff>
                    <xdr:row>9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9" name="Check Box 49">
              <controlPr defaultSize="0" autoFill="0" autoLine="0" autoPict="0">
                <anchor moveWithCells="1">
                  <from>
                    <xdr:col>1</xdr:col>
                    <xdr:colOff>32657</xdr:colOff>
                    <xdr:row>7</xdr:row>
                    <xdr:rowOff>500743</xdr:rowOff>
                  </from>
                  <to>
                    <xdr:col>2</xdr:col>
                    <xdr:colOff>76200</xdr:colOff>
                    <xdr:row>9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0" name="Check Box 50">
              <controlPr defaultSize="0" autoFill="0" autoLine="0" autoPict="0">
                <anchor moveWithCells="1">
                  <from>
                    <xdr:col>2</xdr:col>
                    <xdr:colOff>32657</xdr:colOff>
                    <xdr:row>7</xdr:row>
                    <xdr:rowOff>500743</xdr:rowOff>
                  </from>
                  <to>
                    <xdr:col>3</xdr:col>
                    <xdr:colOff>76200</xdr:colOff>
                    <xdr:row>9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1" name="Check Box 51">
              <controlPr defaultSize="0" autoFill="0" autoLine="0" autoPict="0">
                <anchor moveWithCells="1">
                  <from>
                    <xdr:col>3</xdr:col>
                    <xdr:colOff>21771</xdr:colOff>
                    <xdr:row>7</xdr:row>
                    <xdr:rowOff>500743</xdr:rowOff>
                  </from>
                  <to>
                    <xdr:col>4</xdr:col>
                    <xdr:colOff>70757</xdr:colOff>
                    <xdr:row>9</xdr:row>
                    <xdr:rowOff>10886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2" name="Check Box 52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310243</xdr:rowOff>
                  </from>
                  <to>
                    <xdr:col>1</xdr:col>
                    <xdr:colOff>81643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3" name="Check Box 53">
              <controlPr defaultSize="0" autoFill="0" autoLine="0" autoPict="0">
                <anchor moveWithCells="1">
                  <from>
                    <xdr:col>1</xdr:col>
                    <xdr:colOff>38100</xdr:colOff>
                    <xdr:row>8</xdr:row>
                    <xdr:rowOff>310243</xdr:rowOff>
                  </from>
                  <to>
                    <xdr:col>2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4" name="Check Box 54">
              <controlPr defaultSize="0" autoFill="0" autoLine="0" autoPict="0">
                <anchor moveWithCells="1">
                  <from>
                    <xdr:col>2</xdr:col>
                    <xdr:colOff>32657</xdr:colOff>
                    <xdr:row>8</xdr:row>
                    <xdr:rowOff>310243</xdr:rowOff>
                  </from>
                  <to>
                    <xdr:col>3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5" name="Check Box 55">
              <controlPr defaultSize="0" autoFill="0" autoLine="0" autoPict="0">
                <anchor moveWithCells="1">
                  <from>
                    <xdr:col>3</xdr:col>
                    <xdr:colOff>27214</xdr:colOff>
                    <xdr:row>8</xdr:row>
                    <xdr:rowOff>310243</xdr:rowOff>
                  </from>
                  <to>
                    <xdr:col>4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6" name="Check Box 56">
              <controlPr defaultSize="0" autoFill="0" autoLine="0" autoPict="0">
                <anchor moveWithCells="1">
                  <from>
                    <xdr:col>0</xdr:col>
                    <xdr:colOff>43543</xdr:colOff>
                    <xdr:row>9</xdr:row>
                    <xdr:rowOff>255814</xdr:rowOff>
                  </from>
                  <to>
                    <xdr:col>1</xdr:col>
                    <xdr:colOff>87086</xdr:colOff>
                    <xdr:row>11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7" name="Check Box 57">
              <controlPr defaultSize="0" autoFill="0" autoLine="0" autoPict="0">
                <anchor moveWithCells="1">
                  <from>
                    <xdr:col>1</xdr:col>
                    <xdr:colOff>43543</xdr:colOff>
                    <xdr:row>9</xdr:row>
                    <xdr:rowOff>255814</xdr:rowOff>
                  </from>
                  <to>
                    <xdr:col>2</xdr:col>
                    <xdr:colOff>87086</xdr:colOff>
                    <xdr:row>11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8" name="Check Box 58">
              <controlPr defaultSize="0" autoFill="0" autoLine="0" autoPict="0">
                <anchor moveWithCells="1">
                  <from>
                    <xdr:col>2</xdr:col>
                    <xdr:colOff>43543</xdr:colOff>
                    <xdr:row>9</xdr:row>
                    <xdr:rowOff>255814</xdr:rowOff>
                  </from>
                  <to>
                    <xdr:col>3</xdr:col>
                    <xdr:colOff>81643</xdr:colOff>
                    <xdr:row>11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9" name="Check Box 59">
              <controlPr defaultSize="0" autoFill="0" autoLine="0" autoPict="0">
                <anchor moveWithCells="1">
                  <from>
                    <xdr:col>3</xdr:col>
                    <xdr:colOff>32657</xdr:colOff>
                    <xdr:row>9</xdr:row>
                    <xdr:rowOff>255814</xdr:rowOff>
                  </from>
                  <to>
                    <xdr:col>4</xdr:col>
                    <xdr:colOff>81643</xdr:colOff>
                    <xdr:row>11</xdr:row>
                    <xdr:rowOff>16329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0" name="Check Box 60">
              <controlPr defaultSize="0" autoFill="0" autoLine="0" autoPict="0">
                <anchor moveWithCells="1">
                  <from>
                    <xdr:col>0</xdr:col>
                    <xdr:colOff>32657</xdr:colOff>
                    <xdr:row>10</xdr:row>
                    <xdr:rowOff>391886</xdr:rowOff>
                  </from>
                  <to>
                    <xdr:col>1</xdr:col>
                    <xdr:colOff>70757</xdr:colOff>
                    <xdr:row>12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1" name="Check Box 61">
              <controlPr defaultSize="0" autoFill="0" autoLine="0" autoPict="0">
                <anchor moveWithCells="1">
                  <from>
                    <xdr:col>1</xdr:col>
                    <xdr:colOff>32657</xdr:colOff>
                    <xdr:row>10</xdr:row>
                    <xdr:rowOff>391886</xdr:rowOff>
                  </from>
                  <to>
                    <xdr:col>2</xdr:col>
                    <xdr:colOff>70757</xdr:colOff>
                    <xdr:row>12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2" name="Check Box 62">
              <controlPr defaultSize="0" autoFill="0" autoLine="0" autoPict="0">
                <anchor moveWithCells="1">
                  <from>
                    <xdr:col>2</xdr:col>
                    <xdr:colOff>27214</xdr:colOff>
                    <xdr:row>10</xdr:row>
                    <xdr:rowOff>391886</xdr:rowOff>
                  </from>
                  <to>
                    <xdr:col>3</xdr:col>
                    <xdr:colOff>70757</xdr:colOff>
                    <xdr:row>12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3" name="Check Box 63">
              <controlPr defaultSize="0" autoFill="0" autoLine="0" autoPict="0">
                <anchor moveWithCells="1">
                  <from>
                    <xdr:col>3</xdr:col>
                    <xdr:colOff>21771</xdr:colOff>
                    <xdr:row>10</xdr:row>
                    <xdr:rowOff>391886</xdr:rowOff>
                  </from>
                  <to>
                    <xdr:col>4</xdr:col>
                    <xdr:colOff>70757</xdr:colOff>
                    <xdr:row>12</xdr:row>
                    <xdr:rowOff>21771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76F-A3F3-497C-A0BE-2ED6DECB98A9}">
  <dimension ref="A1:F8"/>
  <sheetViews>
    <sheetView zoomScaleNormal="100" workbookViewId="0">
      <selection activeCell="E6" sqref="E6"/>
    </sheetView>
  </sheetViews>
  <sheetFormatPr baseColWidth="10" defaultColWidth="9.23046875" defaultRowHeight="14.6" x14ac:dyDescent="0.4"/>
  <cols>
    <col min="1" max="1" width="20.84375" customWidth="1"/>
    <col min="2" max="2" width="13.3046875" customWidth="1"/>
    <col min="3" max="3" width="17.15234375" customWidth="1"/>
    <col min="4" max="4" width="14.3046875" customWidth="1"/>
    <col min="5" max="5" width="19.3828125" customWidth="1"/>
    <col min="6" max="6" width="17.3828125" customWidth="1"/>
  </cols>
  <sheetData>
    <row r="1" spans="1:6" s="68" customFormat="1" ht="34.200000000000003" customHeight="1" thickBot="1" x14ac:dyDescent="0.55000000000000004">
      <c r="A1" s="66" t="s">
        <v>25</v>
      </c>
      <c r="B1" s="66"/>
    </row>
    <row r="2" spans="1:6" ht="15.45" thickTop="1" thickBot="1" x14ac:dyDescent="0.45">
      <c r="A2" s="15" t="s">
        <v>14</v>
      </c>
      <c r="B2" s="16" t="s">
        <v>15</v>
      </c>
      <c r="C2" s="16" t="s">
        <v>20</v>
      </c>
      <c r="D2" s="16" t="s">
        <v>21</v>
      </c>
      <c r="E2" s="16" t="s">
        <v>22</v>
      </c>
      <c r="F2" s="17" t="s">
        <v>23</v>
      </c>
    </row>
    <row r="3" spans="1:6" ht="15.45" thickTop="1" thickBot="1" x14ac:dyDescent="0.45">
      <c r="A3" s="5">
        <v>1</v>
      </c>
      <c r="B3" t="s">
        <v>16</v>
      </c>
      <c r="C3" s="72">
        <v>2</v>
      </c>
      <c r="D3" s="72">
        <v>26</v>
      </c>
      <c r="E3" s="72">
        <v>14</v>
      </c>
      <c r="F3" s="11"/>
    </row>
    <row r="4" spans="1:6" ht="15.45" thickTop="1" thickBot="1" x14ac:dyDescent="0.45">
      <c r="A4" s="5">
        <v>2</v>
      </c>
      <c r="B4" t="s">
        <v>17</v>
      </c>
      <c r="C4" s="73">
        <v>2</v>
      </c>
      <c r="D4" s="73">
        <v>25</v>
      </c>
      <c r="E4" s="73">
        <v>14</v>
      </c>
      <c r="F4" s="11"/>
    </row>
    <row r="5" spans="1:6" ht="15.45" thickTop="1" thickBot="1" x14ac:dyDescent="0.45">
      <c r="A5" s="5">
        <v>3</v>
      </c>
      <c r="B5" t="s">
        <v>18</v>
      </c>
      <c r="C5" s="73">
        <v>2</v>
      </c>
      <c r="D5" s="73">
        <v>25</v>
      </c>
      <c r="E5" s="73">
        <v>14</v>
      </c>
      <c r="F5" s="11"/>
    </row>
    <row r="6" spans="1:6" ht="15.45" thickTop="1" thickBot="1" x14ac:dyDescent="0.45">
      <c r="A6" s="5">
        <v>4</v>
      </c>
      <c r="B6" t="s">
        <v>19</v>
      </c>
      <c r="C6" s="73">
        <v>2</v>
      </c>
      <c r="D6" s="73">
        <v>26</v>
      </c>
      <c r="E6" s="73">
        <v>14</v>
      </c>
      <c r="F6" s="11"/>
    </row>
    <row r="7" spans="1:6" ht="15.45" thickTop="1" thickBot="1" x14ac:dyDescent="0.45">
      <c r="B7" t="s">
        <v>119</v>
      </c>
      <c r="C7" s="73"/>
      <c r="D7" s="73"/>
      <c r="E7" s="73"/>
      <c r="F7" s="71"/>
    </row>
    <row r="8" spans="1:6" ht="15" thickTop="1" x14ac:dyDescent="0.4"/>
  </sheetData>
  <sheetProtection algorithmName="SHA-512" hashValue="2Crnj7zrWn/7Y6OA+uasJ1p74Oflk67/++6XgrphvB+/S2uUqV1qEUqOfQ2MsrQgB50PHdvJKokifsxyjHoAog==" saltValue="D5J5VLi1k06Y9vm3cu6okQ==" spinCount="100000" sheet="1" objects="1" scenarios="1" selectLockedCells="1"/>
  <phoneticPr fontId="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5</xdr:col>
                    <xdr:colOff>440871</xdr:colOff>
                    <xdr:row>1</xdr:row>
                    <xdr:rowOff>48986</xdr:rowOff>
                  </from>
                  <to>
                    <xdr:col>5</xdr:col>
                    <xdr:colOff>734786</xdr:colOff>
                    <xdr:row>3</xdr:row>
                    <xdr:rowOff>97971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5</xdr:col>
                    <xdr:colOff>440871</xdr:colOff>
                    <xdr:row>2</xdr:row>
                    <xdr:rowOff>0</xdr:rowOff>
                  </from>
                  <to>
                    <xdr:col>5</xdr:col>
                    <xdr:colOff>669471</xdr:colOff>
                    <xdr:row>2</xdr:row>
                    <xdr:rowOff>174171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5</xdr:col>
                    <xdr:colOff>440871</xdr:colOff>
                    <xdr:row>3</xdr:row>
                    <xdr:rowOff>10886</xdr:rowOff>
                  </from>
                  <to>
                    <xdr:col>5</xdr:col>
                    <xdr:colOff>669471</xdr:colOff>
                    <xdr:row>3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Fill="0" autoLine="0" autoPict="0">
                <anchor moveWithCells="1">
                  <from>
                    <xdr:col>5</xdr:col>
                    <xdr:colOff>440871</xdr:colOff>
                    <xdr:row>4</xdr:row>
                    <xdr:rowOff>10886</xdr:rowOff>
                  </from>
                  <to>
                    <xdr:col>5</xdr:col>
                    <xdr:colOff>669471</xdr:colOff>
                    <xdr:row>4</xdr:row>
                    <xdr:rowOff>179614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Check Box 7">
              <controlPr defaultSize="0" autoFill="0" autoLine="0" autoPict="0">
                <anchor moveWithCells="1">
                  <from>
                    <xdr:col>5</xdr:col>
                    <xdr:colOff>440871</xdr:colOff>
                    <xdr:row>5</xdr:row>
                    <xdr:rowOff>10886</xdr:rowOff>
                  </from>
                  <to>
                    <xdr:col>5</xdr:col>
                    <xdr:colOff>669471</xdr:colOff>
                    <xdr:row>5</xdr:row>
                    <xdr:rowOff>179614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DC15-EFEB-48BE-9ADC-8D1A2CF540D9}">
  <dimension ref="A1:B9"/>
  <sheetViews>
    <sheetView zoomScale="130" zoomScaleNormal="130" workbookViewId="0">
      <selection activeCell="A2" sqref="A2"/>
    </sheetView>
  </sheetViews>
  <sheetFormatPr baseColWidth="10" defaultColWidth="9.23046875" defaultRowHeight="14.6" x14ac:dyDescent="0.4"/>
  <cols>
    <col min="2" max="2" width="41.15234375" customWidth="1"/>
  </cols>
  <sheetData>
    <row r="1" spans="1:2" s="68" customFormat="1" ht="34.950000000000003" customHeight="1" x14ac:dyDescent="0.5">
      <c r="A1" s="66" t="s">
        <v>27</v>
      </c>
      <c r="B1" s="69"/>
    </row>
    <row r="2" spans="1:2" ht="33" x14ac:dyDescent="0.4">
      <c r="A2" s="42" t="s">
        <v>28</v>
      </c>
      <c r="B2" s="4" t="s">
        <v>34</v>
      </c>
    </row>
    <row r="3" spans="1:2" ht="33" x14ac:dyDescent="0.4">
      <c r="A3" s="11"/>
      <c r="B3" s="2" t="s">
        <v>33</v>
      </c>
    </row>
    <row r="4" spans="1:2" ht="22.3" x14ac:dyDescent="0.4">
      <c r="A4" s="42" t="s">
        <v>28</v>
      </c>
      <c r="B4" s="4" t="s">
        <v>32</v>
      </c>
    </row>
    <row r="5" spans="1:2" x14ac:dyDescent="0.4">
      <c r="A5" s="11"/>
      <c r="B5" s="2" t="s">
        <v>30</v>
      </c>
    </row>
    <row r="6" spans="1:2" x14ac:dyDescent="0.4">
      <c r="A6" s="11"/>
      <c r="B6" s="4" t="s">
        <v>31</v>
      </c>
    </row>
    <row r="7" spans="1:2" x14ac:dyDescent="0.4">
      <c r="A7" s="11"/>
      <c r="B7" s="2" t="s">
        <v>120</v>
      </c>
    </row>
    <row r="8" spans="1:2" ht="22.3" x14ac:dyDescent="0.4">
      <c r="A8" s="42" t="s">
        <v>28</v>
      </c>
      <c r="B8" s="4" t="s">
        <v>29</v>
      </c>
    </row>
    <row r="9" spans="1:2" x14ac:dyDescent="0.4">
      <c r="A9" s="71"/>
    </row>
  </sheetData>
  <sheetProtection algorithmName="SHA-512" hashValue="Tnsj2qJ+SMprxN6B10jown0gbrRjPDlqkPG4+WVBYMIxyYFyoe5ZgEQJ3qugE8Fr88oFOJflLZEwqEWKEJNQjA==" saltValue="aCyemOxv9mdJZlFYRDzlZw==" spinCount="100000" sheet="1" objects="1" scenarios="1" select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1" r:id="rId3" name="Check Box 9">
              <controlPr defaultSize="0" autoFill="0" autoLine="0" autoPict="0">
                <anchor moveWithCells="1">
                  <from>
                    <xdr:col>0</xdr:col>
                    <xdr:colOff>201386</xdr:colOff>
                    <xdr:row>1</xdr:row>
                    <xdr:rowOff>381000</xdr:rowOff>
                  </from>
                  <to>
                    <xdr:col>0</xdr:col>
                    <xdr:colOff>506186</xdr:colOff>
                    <xdr:row>3</xdr:row>
                    <xdr:rowOff>21771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4" name="Check Box 10">
              <controlPr defaultSize="0" autoFill="0" autoLine="0" autoPict="0">
                <anchor moveWithCells="1">
                  <from>
                    <xdr:col>0</xdr:col>
                    <xdr:colOff>201386</xdr:colOff>
                    <xdr:row>3</xdr:row>
                    <xdr:rowOff>277586</xdr:rowOff>
                  </from>
                  <to>
                    <xdr:col>0</xdr:col>
                    <xdr:colOff>506186</xdr:colOff>
                    <xdr:row>5</xdr:row>
                    <xdr:rowOff>136071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5" name="Check Box 11">
              <controlPr defaultSize="0" autoFill="0" autoLine="0" autoPict="0">
                <anchor moveWithCells="1">
                  <from>
                    <xdr:col>0</xdr:col>
                    <xdr:colOff>212271</xdr:colOff>
                    <xdr:row>4</xdr:row>
                    <xdr:rowOff>59871</xdr:rowOff>
                  </from>
                  <to>
                    <xdr:col>0</xdr:col>
                    <xdr:colOff>517071</xdr:colOff>
                    <xdr:row>6</xdr:row>
                    <xdr:rowOff>136071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6" name="Check Box 12">
              <controlPr defaultSize="0" autoFill="0" autoLine="0" autoPict="0">
                <anchor moveWithCells="1">
                  <from>
                    <xdr:col>0</xdr:col>
                    <xdr:colOff>212271</xdr:colOff>
                    <xdr:row>5</xdr:row>
                    <xdr:rowOff>48986</xdr:rowOff>
                  </from>
                  <to>
                    <xdr:col>0</xdr:col>
                    <xdr:colOff>517071</xdr:colOff>
                    <xdr:row>7</xdr:row>
                    <xdr:rowOff>125186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4DAD-2404-4A2D-8544-FAF736DE6A7D}">
  <dimension ref="A1:H20"/>
  <sheetViews>
    <sheetView zoomScale="115" zoomScaleNormal="115" workbookViewId="0">
      <selection activeCell="D15" sqref="D15"/>
    </sheetView>
  </sheetViews>
  <sheetFormatPr baseColWidth="10" defaultColWidth="9.23046875" defaultRowHeight="14.6" x14ac:dyDescent="0.4"/>
  <cols>
    <col min="1" max="1" width="31.84375" bestFit="1" customWidth="1"/>
    <col min="2" max="2" width="4.3046875" customWidth="1"/>
  </cols>
  <sheetData>
    <row r="1" spans="1:6" s="68" customFormat="1" ht="31.2" customHeight="1" x14ac:dyDescent="0.5">
      <c r="A1" s="66" t="s">
        <v>51</v>
      </c>
    </row>
    <row r="2" spans="1:6" x14ac:dyDescent="0.4">
      <c r="A2" t="s">
        <v>28</v>
      </c>
      <c r="B2" s="1" t="s">
        <v>35</v>
      </c>
      <c r="C2" s="1"/>
      <c r="D2" s="1"/>
      <c r="E2" s="1"/>
      <c r="F2" s="1"/>
    </row>
    <row r="4" spans="1:6" x14ac:dyDescent="0.4">
      <c r="A4" t="s">
        <v>36</v>
      </c>
    </row>
    <row r="5" spans="1:6" ht="25.2" customHeight="1" thickBot="1" x14ac:dyDescent="0.45">
      <c r="A5" s="3"/>
      <c r="B5" s="3"/>
      <c r="C5" s="6" t="s">
        <v>38</v>
      </c>
      <c r="D5" s="6" t="s">
        <v>24</v>
      </c>
    </row>
    <row r="6" spans="1:6" ht="18" customHeight="1" thickTop="1" thickBot="1" x14ac:dyDescent="0.45">
      <c r="A6" t="s">
        <v>37</v>
      </c>
      <c r="C6">
        <v>99</v>
      </c>
      <c r="D6" s="18">
        <v>102</v>
      </c>
    </row>
    <row r="7" spans="1:6" ht="18" customHeight="1" thickTop="1" thickBot="1" x14ac:dyDescent="0.45">
      <c r="A7" s="8" t="s">
        <v>39</v>
      </c>
      <c r="B7" s="9"/>
      <c r="C7" s="9">
        <v>-56</v>
      </c>
      <c r="D7" s="20">
        <v>-56</v>
      </c>
    </row>
    <row r="8" spans="1:6" ht="18" customHeight="1" thickBot="1" x14ac:dyDescent="0.45">
      <c r="A8" s="7" t="s">
        <v>40</v>
      </c>
      <c r="C8">
        <f>SUM(C6:C7)</f>
        <v>43</v>
      </c>
      <c r="D8" s="19">
        <v>46</v>
      </c>
    </row>
    <row r="9" spans="1:6" ht="18" customHeight="1" thickTop="1" thickBot="1" x14ac:dyDescent="0.45">
      <c r="A9" s="10" t="s">
        <v>41</v>
      </c>
      <c r="B9" s="3"/>
      <c r="C9" s="3">
        <v>-24</v>
      </c>
      <c r="D9" s="18">
        <v>-24</v>
      </c>
    </row>
    <row r="10" spans="1:6" ht="18" customHeight="1" thickTop="1" thickBot="1" x14ac:dyDescent="0.45">
      <c r="A10" s="12" t="s">
        <v>42</v>
      </c>
      <c r="B10" s="13"/>
      <c r="C10" s="13">
        <v>-9</v>
      </c>
      <c r="D10" s="20">
        <v>-9</v>
      </c>
    </row>
    <row r="11" spans="1:6" ht="18" customHeight="1" thickBot="1" x14ac:dyDescent="0.45">
      <c r="A11" s="14" t="s">
        <v>43</v>
      </c>
      <c r="B11" s="14"/>
      <c r="C11" s="14">
        <f>SUM(C8:C10)</f>
        <v>10</v>
      </c>
      <c r="D11" s="19">
        <v>13</v>
      </c>
    </row>
    <row r="12" spans="1:6" ht="18" customHeight="1" thickTop="1" thickBot="1" x14ac:dyDescent="0.45">
      <c r="A12" s="12" t="s">
        <v>44</v>
      </c>
      <c r="B12" s="13"/>
      <c r="C12" s="13">
        <v>-10</v>
      </c>
      <c r="D12" s="20">
        <v>-10</v>
      </c>
    </row>
    <row r="13" spans="1:6" ht="18" customHeight="1" thickBot="1" x14ac:dyDescent="0.45">
      <c r="A13" s="14" t="s">
        <v>46</v>
      </c>
      <c r="B13" s="14"/>
      <c r="C13" s="14">
        <f>SUM(C11:C12)</f>
        <v>0</v>
      </c>
      <c r="D13" s="19">
        <v>3</v>
      </c>
    </row>
    <row r="14" spans="1:6" ht="18" customHeight="1" thickTop="1" thickBot="1" x14ac:dyDescent="0.45">
      <c r="A14" s="12" t="s">
        <v>45</v>
      </c>
      <c r="B14" s="13"/>
      <c r="C14" s="13">
        <v>0</v>
      </c>
      <c r="D14" s="20">
        <v>-1</v>
      </c>
    </row>
    <row r="15" spans="1:6" ht="18" customHeight="1" thickBot="1" x14ac:dyDescent="0.45">
      <c r="A15" s="14" t="s">
        <v>47</v>
      </c>
      <c r="B15" s="14"/>
      <c r="C15" s="14">
        <v>0</v>
      </c>
      <c r="D15" s="19">
        <v>2</v>
      </c>
    </row>
    <row r="16" spans="1:6" ht="15" thickTop="1" x14ac:dyDescent="0.4"/>
    <row r="18" spans="2:8" x14ac:dyDescent="0.4">
      <c r="B18" s="11"/>
      <c r="C18" s="1" t="s">
        <v>48</v>
      </c>
      <c r="D18" s="1"/>
      <c r="E18" s="1"/>
      <c r="F18" s="1"/>
      <c r="G18" s="1"/>
      <c r="H18" s="1"/>
    </row>
    <row r="19" spans="2:8" x14ac:dyDescent="0.4">
      <c r="B19" s="71"/>
      <c r="C19" s="1" t="s">
        <v>49</v>
      </c>
      <c r="D19" s="1"/>
      <c r="E19" s="1"/>
      <c r="F19" s="1"/>
      <c r="G19" s="1"/>
      <c r="H19" s="1"/>
    </row>
    <row r="20" spans="2:8" x14ac:dyDescent="0.4">
      <c r="B20" s="71"/>
      <c r="C20" s="1" t="s">
        <v>50</v>
      </c>
      <c r="D20" s="1"/>
      <c r="E20" s="1"/>
      <c r="F20" s="1"/>
      <c r="G20" s="1"/>
      <c r="H20" s="1"/>
    </row>
  </sheetData>
  <sheetProtection algorithmName="SHA-512" hashValue="Y1o+zrf+yKeixa/GuUo62yYxRsk7e8X2B+wx94AVODk1EzY63mdV3jQsmJGzzlBIyh3bwaEy2zpHUoONEmDFqg==" saltValue="oxza06OyLgMZjI7Sk8AKoQ==" spinCount="100000" sheet="1" objects="1" scenarios="1" select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1</xdr:col>
                    <xdr:colOff>59871</xdr:colOff>
                    <xdr:row>16</xdr:row>
                    <xdr:rowOff>174171</xdr:rowOff>
                  </from>
                  <to>
                    <xdr:col>1</xdr:col>
                    <xdr:colOff>288471</xdr:colOff>
                    <xdr:row>17</xdr:row>
                    <xdr:rowOff>174171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812C-48A9-451F-B8D5-2C1D12C54F04}">
  <dimension ref="A1:H34"/>
  <sheetViews>
    <sheetView zoomScale="85" zoomScaleNormal="85" workbookViewId="0">
      <selection activeCell="D10" sqref="D10"/>
    </sheetView>
  </sheetViews>
  <sheetFormatPr baseColWidth="10" defaultColWidth="9.23046875" defaultRowHeight="14.6" x14ac:dyDescent="0.4"/>
  <cols>
    <col min="1" max="1" width="31.84375" bestFit="1" customWidth="1"/>
    <col min="2" max="2" width="8.15234375" customWidth="1"/>
  </cols>
  <sheetData>
    <row r="1" spans="1:7" s="68" customFormat="1" ht="31.2" customHeight="1" x14ac:dyDescent="0.5">
      <c r="A1" s="66" t="s">
        <v>52</v>
      </c>
    </row>
    <row r="2" spans="1:7" x14ac:dyDescent="0.4">
      <c r="A2" t="s">
        <v>28</v>
      </c>
      <c r="B2" s="1" t="s">
        <v>75</v>
      </c>
      <c r="C2" s="1"/>
      <c r="D2" s="1"/>
      <c r="E2" s="1"/>
      <c r="F2" s="1"/>
    </row>
    <row r="4" spans="1:7" x14ac:dyDescent="0.4">
      <c r="A4" s="38" t="s">
        <v>69</v>
      </c>
      <c r="B4" s="38"/>
      <c r="C4" s="38"/>
      <c r="D4" s="38"/>
    </row>
    <row r="5" spans="1:7" ht="25.2" customHeight="1" thickBot="1" x14ac:dyDescent="0.45">
      <c r="A5" s="3" t="s">
        <v>53</v>
      </c>
      <c r="B5" s="3"/>
      <c r="C5" s="6" t="s">
        <v>38</v>
      </c>
      <c r="D5" s="6" t="s">
        <v>24</v>
      </c>
    </row>
    <row r="6" spans="1:7" ht="18" customHeight="1" thickTop="1" thickBot="1" x14ac:dyDescent="0.45">
      <c r="A6" t="s">
        <v>54</v>
      </c>
      <c r="C6">
        <v>10</v>
      </c>
      <c r="D6" s="18">
        <v>10</v>
      </c>
    </row>
    <row r="7" spans="1:7" ht="18" customHeight="1" thickTop="1" thickBot="1" x14ac:dyDescent="0.45">
      <c r="A7" s="3" t="s">
        <v>55</v>
      </c>
      <c r="B7" s="3"/>
      <c r="C7" s="3">
        <v>20</v>
      </c>
      <c r="D7" s="21">
        <v>19</v>
      </c>
      <c r="G7" s="13"/>
    </row>
    <row r="8" spans="1:7" ht="18" customHeight="1" thickTop="1" x14ac:dyDescent="0.4">
      <c r="A8" t="s">
        <v>56</v>
      </c>
      <c r="C8">
        <v>20</v>
      </c>
      <c r="D8" s="21">
        <v>15</v>
      </c>
    </row>
    <row r="9" spans="1:7" ht="18" customHeight="1" thickBot="1" x14ac:dyDescent="0.45">
      <c r="A9" s="9" t="s">
        <v>57</v>
      </c>
      <c r="B9" s="9"/>
      <c r="C9" s="23">
        <v>12</v>
      </c>
      <c r="D9" s="22">
        <v>9</v>
      </c>
    </row>
    <row r="10" spans="1:7" ht="18" customHeight="1" x14ac:dyDescent="0.4">
      <c r="A10" s="25" t="s">
        <v>58</v>
      </c>
      <c r="B10" s="13"/>
      <c r="C10" s="13">
        <f>SUM(C6:C9)</f>
        <v>62</v>
      </c>
      <c r="D10" s="11">
        <f>SUM(D6:D9)</f>
        <v>53</v>
      </c>
    </row>
    <row r="11" spans="1:7" ht="18" customHeight="1" x14ac:dyDescent="0.4">
      <c r="A11" s="27"/>
      <c r="B11" s="3"/>
      <c r="C11" s="3"/>
      <c r="D11" s="42"/>
    </row>
    <row r="12" spans="1:7" ht="18" customHeight="1" x14ac:dyDescent="0.4">
      <c r="A12" s="7" t="s">
        <v>59</v>
      </c>
      <c r="D12" s="41"/>
    </row>
    <row r="13" spans="1:7" ht="18" customHeight="1" x14ac:dyDescent="0.4">
      <c r="A13" s="10" t="s">
        <v>60</v>
      </c>
      <c r="B13" s="3"/>
      <c r="C13" s="3"/>
      <c r="D13" s="42"/>
    </row>
    <row r="14" spans="1:7" ht="18" customHeight="1" thickBot="1" x14ac:dyDescent="0.45">
      <c r="A14" s="28" t="s">
        <v>61</v>
      </c>
      <c r="B14" s="29"/>
      <c r="C14" s="29">
        <v>9</v>
      </c>
      <c r="D14" s="19">
        <v>9</v>
      </c>
    </row>
    <row r="15" spans="1:7" ht="18" customHeight="1" thickTop="1" thickBot="1" x14ac:dyDescent="0.45">
      <c r="A15" s="3" t="s">
        <v>62</v>
      </c>
      <c r="B15" s="3"/>
      <c r="C15" s="3">
        <v>26</v>
      </c>
      <c r="D15" s="19">
        <v>26</v>
      </c>
    </row>
    <row r="16" spans="1:7" ht="18" customHeight="1" thickTop="1" thickBot="1" x14ac:dyDescent="0.45">
      <c r="A16" t="s">
        <v>63</v>
      </c>
      <c r="C16">
        <v>21</v>
      </c>
      <c r="D16" s="19">
        <v>21</v>
      </c>
    </row>
    <row r="17" spans="1:8" ht="18" customHeight="1" thickTop="1" thickBot="1" x14ac:dyDescent="0.45">
      <c r="A17" s="30" t="s">
        <v>64</v>
      </c>
      <c r="B17" s="31"/>
      <c r="C17" s="31">
        <v>25</v>
      </c>
      <c r="D17" s="18">
        <v>26</v>
      </c>
    </row>
    <row r="18" spans="1:8" ht="18" customHeight="1" thickTop="1" thickBot="1" x14ac:dyDescent="0.45">
      <c r="A18" s="33" t="s">
        <v>65</v>
      </c>
      <c r="B18" s="33"/>
      <c r="C18" s="34">
        <v>24</v>
      </c>
      <c r="D18" s="20">
        <v>35</v>
      </c>
    </row>
    <row r="19" spans="1:8" ht="18" customHeight="1" x14ac:dyDescent="0.4">
      <c r="A19" s="32" t="s">
        <v>66</v>
      </c>
      <c r="B19" s="3"/>
      <c r="C19" s="3">
        <f>SUM(C14:C18)</f>
        <v>105</v>
      </c>
      <c r="D19" s="26">
        <f>SUM(D14:D18)</f>
        <v>117</v>
      </c>
    </row>
    <row r="20" spans="1:8" ht="18" customHeight="1" thickBot="1" x14ac:dyDescent="0.45">
      <c r="A20" s="35" t="s">
        <v>67</v>
      </c>
      <c r="B20" s="37"/>
      <c r="C20" s="37">
        <f>C10+C19</f>
        <v>167</v>
      </c>
      <c r="D20" s="36">
        <v>170</v>
      </c>
    </row>
    <row r="21" spans="1:8" ht="15" thickTop="1" x14ac:dyDescent="0.4"/>
    <row r="22" spans="1:8" x14ac:dyDescent="0.4">
      <c r="A22" s="38" t="s">
        <v>70</v>
      </c>
      <c r="B22" s="38"/>
      <c r="C22" s="38"/>
      <c r="D22" s="38"/>
    </row>
    <row r="23" spans="1:8" ht="15" thickBot="1" x14ac:dyDescent="0.45">
      <c r="A23" s="3" t="s">
        <v>68</v>
      </c>
      <c r="B23" s="3"/>
      <c r="C23" s="6"/>
      <c r="D23" s="6"/>
      <c r="E23" s="1"/>
      <c r="F23" s="1"/>
      <c r="G23" s="1"/>
      <c r="H23" s="1"/>
    </row>
    <row r="24" spans="1:8" ht="15.45" thickTop="1" thickBot="1" x14ac:dyDescent="0.45">
      <c r="A24" t="s">
        <v>71</v>
      </c>
      <c r="C24">
        <v>60</v>
      </c>
      <c r="D24" s="18">
        <v>60</v>
      </c>
      <c r="E24" s="1"/>
      <c r="F24" s="1"/>
      <c r="G24" s="1"/>
      <c r="H24" s="1"/>
    </row>
    <row r="25" spans="1:8" ht="15.45" thickTop="1" thickBot="1" x14ac:dyDescent="0.45">
      <c r="A25" s="3" t="s">
        <v>72</v>
      </c>
      <c r="B25" s="3"/>
      <c r="C25" s="3">
        <v>7</v>
      </c>
      <c r="D25" s="21">
        <v>7</v>
      </c>
      <c r="E25" s="1"/>
      <c r="F25" s="1"/>
      <c r="G25" s="1"/>
      <c r="H25" s="1"/>
    </row>
    <row r="26" spans="1:8" ht="15" thickTop="1" x14ac:dyDescent="0.4">
      <c r="A26" s="13" t="s">
        <v>73</v>
      </c>
      <c r="B26" s="13"/>
      <c r="C26" s="13">
        <v>0</v>
      </c>
      <c r="D26" s="24">
        <v>2</v>
      </c>
    </row>
    <row r="27" spans="1:8" ht="15" thickBot="1" x14ac:dyDescent="0.45">
      <c r="A27" s="39" t="s">
        <v>74</v>
      </c>
      <c r="B27" s="9"/>
      <c r="C27" s="23">
        <f>SUM(C24:C26)</f>
        <v>67</v>
      </c>
      <c r="D27" s="22">
        <v>69</v>
      </c>
    </row>
    <row r="28" spans="1:8" ht="15" thickBot="1" x14ac:dyDescent="0.45">
      <c r="A28" s="12"/>
      <c r="B28" s="13"/>
      <c r="C28" s="13"/>
      <c r="D28" s="40"/>
    </row>
    <row r="29" spans="1:8" ht="17.5" customHeight="1" thickTop="1" x14ac:dyDescent="0.4">
      <c r="A29" s="10" t="s">
        <v>76</v>
      </c>
      <c r="B29" s="3"/>
      <c r="C29" s="3"/>
      <c r="D29" s="26"/>
    </row>
    <row r="30" spans="1:8" ht="17.5" customHeight="1" thickBot="1" x14ac:dyDescent="0.45">
      <c r="A30" s="7" t="s">
        <v>77</v>
      </c>
      <c r="C30">
        <v>100</v>
      </c>
      <c r="D30" s="19">
        <v>100</v>
      </c>
    </row>
    <row r="31" spans="1:8" ht="17.5" customHeight="1" thickTop="1" thickBot="1" x14ac:dyDescent="0.45">
      <c r="A31" s="8" t="s">
        <v>78</v>
      </c>
      <c r="B31" s="9"/>
      <c r="C31" s="23">
        <v>0</v>
      </c>
      <c r="D31" s="20">
        <v>1</v>
      </c>
    </row>
    <row r="32" spans="1:8" ht="17.5" customHeight="1" thickBot="1" x14ac:dyDescent="0.45">
      <c r="A32" s="47" t="s">
        <v>79</v>
      </c>
      <c r="B32" s="45"/>
      <c r="C32" s="46">
        <f>SUM(C30:C31)</f>
        <v>100</v>
      </c>
      <c r="D32" s="49">
        <v>101</v>
      </c>
    </row>
    <row r="33" spans="1:4" ht="17.5" customHeight="1" thickBot="1" x14ac:dyDescent="0.45">
      <c r="A33" s="43" t="s">
        <v>124</v>
      </c>
      <c r="B33" s="44"/>
      <c r="C33" s="44">
        <f>C27+C32</f>
        <v>167</v>
      </c>
      <c r="D33" s="48">
        <v>170</v>
      </c>
    </row>
    <row r="34" spans="1:4" ht="15" thickTop="1" x14ac:dyDescent="0.4"/>
  </sheetData>
  <sheetProtection sheet="1" objects="1" scenarios="1" selectLockedCell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46CB-9D07-4AF5-96DB-BEC9ED915F96}">
  <dimension ref="A1:K35"/>
  <sheetViews>
    <sheetView tabSelected="1" topLeftCell="A2" workbookViewId="0">
      <selection activeCell="H8" sqref="H8"/>
    </sheetView>
  </sheetViews>
  <sheetFormatPr baseColWidth="10" defaultColWidth="9.23046875" defaultRowHeight="14.6" x14ac:dyDescent="0.4"/>
  <cols>
    <col min="1" max="1" width="10.3046875" customWidth="1"/>
    <col min="4" max="4" width="13.84375" customWidth="1"/>
    <col min="5" max="5" width="15.3828125" customWidth="1"/>
    <col min="7" max="7" width="15" customWidth="1"/>
    <col min="8" max="8" width="17.3046875" customWidth="1"/>
    <col min="10" max="10" width="14.84375" customWidth="1"/>
    <col min="11" max="11" width="14.53515625" customWidth="1"/>
  </cols>
  <sheetData>
    <row r="1" spans="1:11" s="68" customFormat="1" ht="27" customHeight="1" x14ac:dyDescent="0.5">
      <c r="A1" s="66" t="s">
        <v>80</v>
      </c>
      <c r="B1" s="67"/>
    </row>
    <row r="2" spans="1:11" s="63" customFormat="1" ht="27" customHeight="1" x14ac:dyDescent="0.4">
      <c r="A2" s="62" t="s">
        <v>112</v>
      </c>
      <c r="B2" s="63" t="s">
        <v>113</v>
      </c>
    </row>
    <row r="3" spans="1:11" s="63" customFormat="1" ht="22.5" customHeight="1" x14ac:dyDescent="0.4">
      <c r="A3" s="64"/>
      <c r="B3" s="63" t="s">
        <v>114</v>
      </c>
    </row>
    <row r="4" spans="1:11" s="63" customFormat="1" ht="22.5" customHeight="1" x14ac:dyDescent="0.4">
      <c r="A4" s="64"/>
      <c r="B4" s="63" t="s">
        <v>115</v>
      </c>
    </row>
    <row r="5" spans="1:11" ht="27" customHeight="1" thickBot="1" x14ac:dyDescent="0.45">
      <c r="A5" s="61"/>
    </row>
    <row r="6" spans="1:11" ht="15" thickBot="1" x14ac:dyDescent="0.45">
      <c r="G6" s="74" t="s">
        <v>92</v>
      </c>
      <c r="H6" s="75"/>
    </row>
    <row r="7" spans="1:11" x14ac:dyDescent="0.4">
      <c r="A7" s="76" t="s">
        <v>37</v>
      </c>
      <c r="B7" s="77"/>
      <c r="G7" s="50" t="s">
        <v>38</v>
      </c>
      <c r="H7" s="51" t="s">
        <v>24</v>
      </c>
    </row>
    <row r="8" spans="1:11" ht="15" thickBot="1" x14ac:dyDescent="0.45">
      <c r="A8" s="50" t="s">
        <v>38</v>
      </c>
      <c r="B8" s="51" t="s">
        <v>24</v>
      </c>
      <c r="G8" s="53">
        <f>G13/A9</f>
        <v>0.10101010101010101</v>
      </c>
      <c r="H8" s="58">
        <f>E11/B9*100</f>
        <v>45.098039215686278</v>
      </c>
    </row>
    <row r="9" spans="1:11" ht="15" thickBot="1" x14ac:dyDescent="0.45">
      <c r="A9" s="52">
        <f>'Jahr 01_JA_GuV'!$C$6</f>
        <v>99</v>
      </c>
      <c r="B9" s="58">
        <v>102</v>
      </c>
      <c r="D9" s="76" t="s">
        <v>81</v>
      </c>
      <c r="E9" s="77"/>
    </row>
    <row r="10" spans="1:11" ht="15" thickBot="1" x14ac:dyDescent="0.45">
      <c r="D10" s="50" t="s">
        <v>38</v>
      </c>
      <c r="E10" s="51" t="s">
        <v>24</v>
      </c>
    </row>
    <row r="11" spans="1:11" ht="15" thickBot="1" x14ac:dyDescent="0.45">
      <c r="A11" s="76" t="s">
        <v>22</v>
      </c>
      <c r="B11" s="77"/>
      <c r="D11" s="52">
        <f>A9+A13</f>
        <v>43</v>
      </c>
      <c r="E11" s="58">
        <v>46</v>
      </c>
      <c r="G11" s="76" t="s">
        <v>83</v>
      </c>
      <c r="H11" s="77"/>
      <c r="J11" s="76" t="s">
        <v>89</v>
      </c>
      <c r="K11" s="77"/>
    </row>
    <row r="12" spans="1:11" ht="15" thickBot="1" x14ac:dyDescent="0.45">
      <c r="A12" s="50" t="s">
        <v>38</v>
      </c>
      <c r="B12" s="51" t="s">
        <v>24</v>
      </c>
      <c r="G12" s="50" t="s">
        <v>38</v>
      </c>
      <c r="H12" s="51" t="s">
        <v>24</v>
      </c>
      <c r="J12" s="50" t="s">
        <v>38</v>
      </c>
      <c r="K12" s="51" t="s">
        <v>24</v>
      </c>
    </row>
    <row r="13" spans="1:11" ht="15" thickBot="1" x14ac:dyDescent="0.45">
      <c r="A13" s="52">
        <f>'Jahr 01_JA_GuV'!$C$7</f>
        <v>-56</v>
      </c>
      <c r="B13" s="58">
        <v>-56</v>
      </c>
      <c r="D13" s="76" t="s">
        <v>82</v>
      </c>
      <c r="E13" s="77"/>
      <c r="G13" s="52">
        <f>'Jahr 01_JA_GuV'!$C$11</f>
        <v>10</v>
      </c>
      <c r="H13" s="58"/>
      <c r="J13" s="52">
        <f>'Jahr 01_JA_GuV'!$C$14+'Jahr 01_JA_GuV'!$C$12</f>
        <v>-10</v>
      </c>
      <c r="K13" s="58"/>
    </row>
    <row r="14" spans="1:11" ht="15" thickBot="1" x14ac:dyDescent="0.45">
      <c r="D14" s="50" t="s">
        <v>38</v>
      </c>
      <c r="E14" s="51" t="s">
        <v>24</v>
      </c>
    </row>
    <row r="15" spans="1:11" ht="15" thickBot="1" x14ac:dyDescent="0.45">
      <c r="D15" s="52">
        <f>'Jahr 01_JA_GuV'!$C$9+'Jahr 01_JA_GuV'!$C$10</f>
        <v>-33</v>
      </c>
      <c r="E15" s="58">
        <v>-33</v>
      </c>
      <c r="J15" s="76" t="s">
        <v>90</v>
      </c>
      <c r="K15" s="77"/>
    </row>
    <row r="16" spans="1:11" x14ac:dyDescent="0.4">
      <c r="J16" s="50" t="s">
        <v>38</v>
      </c>
      <c r="K16" s="51" t="s">
        <v>24</v>
      </c>
    </row>
    <row r="17" spans="1:11" ht="15" thickBot="1" x14ac:dyDescent="0.45">
      <c r="J17" s="52">
        <f>G13+J13</f>
        <v>0</v>
      </c>
      <c r="K17" s="58"/>
    </row>
    <row r="18" spans="1:11" ht="15" thickBot="1" x14ac:dyDescent="0.45">
      <c r="A18" s="76" t="s">
        <v>53</v>
      </c>
      <c r="B18" s="77"/>
      <c r="G18" s="74" t="s">
        <v>88</v>
      </c>
      <c r="H18" s="75"/>
    </row>
    <row r="19" spans="1:11" x14ac:dyDescent="0.4">
      <c r="A19" s="50" t="s">
        <v>38</v>
      </c>
      <c r="B19" s="51" t="s">
        <v>24</v>
      </c>
      <c r="G19" s="50" t="s">
        <v>38</v>
      </c>
      <c r="H19" s="51" t="s">
        <v>24</v>
      </c>
      <c r="J19" s="74" t="s">
        <v>91</v>
      </c>
      <c r="K19" s="75"/>
    </row>
    <row r="20" spans="1:11" ht="15" thickBot="1" x14ac:dyDescent="0.45">
      <c r="A20" s="52">
        <f>'Jahr 01_JA_Bil'!C10</f>
        <v>62</v>
      </c>
      <c r="B20" s="58">
        <v>53</v>
      </c>
      <c r="G20" s="53">
        <f>G13/D26</f>
        <v>5.9880239520958084E-2</v>
      </c>
      <c r="H20" s="58"/>
      <c r="J20" s="50" t="s">
        <v>38</v>
      </c>
      <c r="K20" s="51" t="s">
        <v>24</v>
      </c>
    </row>
    <row r="21" spans="1:11" ht="15" thickBot="1" x14ac:dyDescent="0.45">
      <c r="J21" s="52">
        <f>'Jahr 01_JA_Bil'!C22</f>
        <v>0</v>
      </c>
      <c r="K21" s="58"/>
    </row>
    <row r="22" spans="1:11" x14ac:dyDescent="0.4">
      <c r="A22" s="76" t="s">
        <v>84</v>
      </c>
      <c r="B22" s="77"/>
    </row>
    <row r="23" spans="1:11" ht="15" thickBot="1" x14ac:dyDescent="0.45">
      <c r="A23" s="50" t="s">
        <v>38</v>
      </c>
      <c r="B23" s="51" t="s">
        <v>24</v>
      </c>
    </row>
    <row r="24" spans="1:11" ht="15" thickBot="1" x14ac:dyDescent="0.45">
      <c r="A24" s="52">
        <f>'Jahr 01_JA_Bil'!C14+'Jahr 01_JA_Bil'!C15+'Jahr 01_JA_Bil'!C16</f>
        <v>56</v>
      </c>
      <c r="B24" s="58">
        <v>56</v>
      </c>
      <c r="D24" s="76" t="s">
        <v>87</v>
      </c>
      <c r="E24" s="77"/>
      <c r="J24" s="76" t="s">
        <v>68</v>
      </c>
      <c r="K24" s="77"/>
    </row>
    <row r="25" spans="1:11" ht="15" thickBot="1" x14ac:dyDescent="0.45">
      <c r="D25" s="50" t="s">
        <v>38</v>
      </c>
      <c r="E25" s="51" t="s">
        <v>24</v>
      </c>
      <c r="J25" s="50" t="s">
        <v>38</v>
      </c>
      <c r="K25" s="51" t="s">
        <v>24</v>
      </c>
    </row>
    <row r="26" spans="1:11" ht="15" thickBot="1" x14ac:dyDescent="0.45">
      <c r="A26" s="76" t="s">
        <v>85</v>
      </c>
      <c r="B26" s="77"/>
      <c r="D26" s="52">
        <f>A20+A24+A28+A32</f>
        <v>167</v>
      </c>
      <c r="E26" s="58">
        <v>170</v>
      </c>
      <c r="J26" s="52">
        <f>'Jahr 01_JA_Bil'!C27</f>
        <v>67</v>
      </c>
      <c r="K26" s="58"/>
    </row>
    <row r="27" spans="1:11" ht="15" thickBot="1" x14ac:dyDescent="0.45">
      <c r="A27" s="50" t="s">
        <v>38</v>
      </c>
      <c r="B27" s="51" t="s">
        <v>24</v>
      </c>
    </row>
    <row r="28" spans="1:11" ht="15" thickBot="1" x14ac:dyDescent="0.45">
      <c r="A28" s="52">
        <f>'Jahr 01_JA_Bil'!C17</f>
        <v>25</v>
      </c>
      <c r="B28" s="58">
        <v>26</v>
      </c>
      <c r="J28" s="76" t="s">
        <v>76</v>
      </c>
      <c r="K28" s="77"/>
    </row>
    <row r="29" spans="1:11" ht="15" thickBot="1" x14ac:dyDescent="0.45">
      <c r="J29" s="50" t="s">
        <v>38</v>
      </c>
      <c r="K29" s="51" t="s">
        <v>24</v>
      </c>
    </row>
    <row r="30" spans="1:11" ht="15" thickBot="1" x14ac:dyDescent="0.45">
      <c r="A30" s="76" t="s">
        <v>86</v>
      </c>
      <c r="B30" s="77"/>
      <c r="J30" s="52">
        <f>'Jahr 01_JA_Bil'!C32</f>
        <v>100</v>
      </c>
      <c r="K30" s="58"/>
    </row>
    <row r="31" spans="1:11" x14ac:dyDescent="0.4">
      <c r="A31" s="50" t="s">
        <v>38</v>
      </c>
      <c r="B31" s="51" t="s">
        <v>24</v>
      </c>
    </row>
    <row r="32" spans="1:11" ht="15" thickBot="1" x14ac:dyDescent="0.45">
      <c r="A32" s="52">
        <f>'Jahr 01_JA_Bil'!C18</f>
        <v>24</v>
      </c>
      <c r="B32" s="58">
        <v>35</v>
      </c>
    </row>
    <row r="33" spans="5:9" x14ac:dyDescent="0.4">
      <c r="E33" s="65" t="s">
        <v>116</v>
      </c>
      <c r="F33" s="65"/>
      <c r="G33" s="65"/>
      <c r="H33" s="65"/>
      <c r="I33" s="65"/>
    </row>
    <row r="34" spans="5:9" x14ac:dyDescent="0.4">
      <c r="E34" s="65" t="s">
        <v>117</v>
      </c>
      <c r="F34" s="65"/>
      <c r="G34" s="65"/>
      <c r="H34" s="65"/>
      <c r="I34" s="65"/>
    </row>
    <row r="35" spans="5:9" x14ac:dyDescent="0.4">
      <c r="E35" s="65" t="s">
        <v>118</v>
      </c>
      <c r="F35" s="65"/>
      <c r="G35" s="65"/>
      <c r="H35" s="65"/>
      <c r="I35" s="65"/>
    </row>
  </sheetData>
  <sheetProtection algorithmName="SHA-512" hashValue="hQdQK1mFZPUP+cHqTVhr7/md2c6gFgh6dDjrosoqXpBoVBmIPa5wkgypjL08qAZQZCZIf4fESKNt+9Vrp4GzXw==" saltValue="bdrVjYeWwBsqA6q5DVz29Q==" spinCount="100000" sheet="1" objects="1" scenarios="1" selectLockedCells="1"/>
  <mergeCells count="17">
    <mergeCell ref="A22:B22"/>
    <mergeCell ref="A26:B26"/>
    <mergeCell ref="A30:B30"/>
    <mergeCell ref="D24:E24"/>
    <mergeCell ref="J11:K11"/>
    <mergeCell ref="J15:K15"/>
    <mergeCell ref="J24:K24"/>
    <mergeCell ref="J28:K28"/>
    <mergeCell ref="J19:K19"/>
    <mergeCell ref="G6:H6"/>
    <mergeCell ref="G18:H18"/>
    <mergeCell ref="A7:B7"/>
    <mergeCell ref="A11:B11"/>
    <mergeCell ref="D9:E9"/>
    <mergeCell ref="D13:E13"/>
    <mergeCell ref="G11:H11"/>
    <mergeCell ref="A18:B1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0</xdr:col>
                    <xdr:colOff>266700</xdr:colOff>
                    <xdr:row>2</xdr:row>
                    <xdr:rowOff>21771</xdr:rowOff>
                  </from>
                  <to>
                    <xdr:col>0</xdr:col>
                    <xdr:colOff>484414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0</xdr:col>
                    <xdr:colOff>277586</xdr:colOff>
                    <xdr:row>2</xdr:row>
                    <xdr:rowOff>277586</xdr:rowOff>
                  </from>
                  <to>
                    <xdr:col>0</xdr:col>
                    <xdr:colOff>495300</xdr:colOff>
                    <xdr:row>4</xdr:row>
                    <xdr:rowOff>10886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AA89-6787-4369-BAEA-8C373B051F35}">
  <dimension ref="A1:D27"/>
  <sheetViews>
    <sheetView zoomScale="120" zoomScaleNormal="120" workbookViewId="0">
      <selection activeCell="D12" sqref="D12"/>
    </sheetView>
  </sheetViews>
  <sheetFormatPr baseColWidth="10" defaultColWidth="9.23046875" defaultRowHeight="14.6" x14ac:dyDescent="0.4"/>
  <cols>
    <col min="3" max="3" width="42.84375" customWidth="1"/>
  </cols>
  <sheetData>
    <row r="1" spans="1:4" s="68" customFormat="1" ht="30" customHeight="1" x14ac:dyDescent="0.5">
      <c r="A1" s="66" t="s">
        <v>93</v>
      </c>
      <c r="B1" s="67"/>
      <c r="C1" s="67"/>
      <c r="D1" s="67"/>
    </row>
    <row r="2" spans="1:4" ht="30" customHeight="1" x14ac:dyDescent="0.4">
      <c r="A2" s="61"/>
    </row>
    <row r="3" spans="1:4" ht="30" customHeight="1" x14ac:dyDescent="0.4">
      <c r="A3" s="62" t="s">
        <v>28</v>
      </c>
      <c r="B3" s="63" t="s">
        <v>110</v>
      </c>
      <c r="C3" s="63"/>
      <c r="D3" s="63"/>
    </row>
    <row r="4" spans="1:4" ht="16.2" customHeight="1" x14ac:dyDescent="0.4">
      <c r="A4" s="62"/>
      <c r="B4" s="63" t="s">
        <v>111</v>
      </c>
      <c r="C4" s="63"/>
      <c r="D4" s="63"/>
    </row>
    <row r="5" spans="1:4" ht="15" thickBot="1" x14ac:dyDescent="0.45">
      <c r="D5" t="s">
        <v>24</v>
      </c>
    </row>
    <row r="6" spans="1:4" ht="16.95" customHeight="1" thickTop="1" thickBot="1" x14ac:dyDescent="0.45">
      <c r="A6" s="3">
        <v>1</v>
      </c>
      <c r="B6" s="3"/>
      <c r="C6" s="3" t="s">
        <v>94</v>
      </c>
      <c r="D6" s="18"/>
    </row>
    <row r="7" spans="1:4" ht="16.95" customHeight="1" thickTop="1" thickBot="1" x14ac:dyDescent="0.45">
      <c r="A7">
        <v>2</v>
      </c>
      <c r="C7" t="s">
        <v>95</v>
      </c>
      <c r="D7" s="18"/>
    </row>
    <row r="8" spans="1:4" ht="16.95" customHeight="1" thickTop="1" thickBot="1" x14ac:dyDescent="0.45">
      <c r="A8" s="3">
        <v>3</v>
      </c>
      <c r="B8" s="3"/>
      <c r="C8" s="3" t="s">
        <v>96</v>
      </c>
      <c r="D8" s="18"/>
    </row>
    <row r="9" spans="1:4" ht="16.95" customHeight="1" thickTop="1" thickBot="1" x14ac:dyDescent="0.45">
      <c r="C9" t="s">
        <v>97</v>
      </c>
      <c r="D9" s="18"/>
    </row>
    <row r="10" spans="1:4" ht="16.95" customHeight="1" thickTop="1" thickBot="1" x14ac:dyDescent="0.45">
      <c r="A10" s="3">
        <v>4</v>
      </c>
      <c r="B10" s="3"/>
      <c r="C10" s="3" t="s">
        <v>98</v>
      </c>
      <c r="D10" s="18"/>
    </row>
    <row r="11" spans="1:4" ht="16.95" customHeight="1" thickTop="1" thickBot="1" x14ac:dyDescent="0.45">
      <c r="C11" t="s">
        <v>99</v>
      </c>
      <c r="D11" s="18"/>
    </row>
    <row r="12" spans="1:4" ht="16.95" customHeight="1" thickTop="1" thickBot="1" x14ac:dyDescent="0.45">
      <c r="A12" s="3">
        <v>5</v>
      </c>
      <c r="B12" s="3"/>
      <c r="C12" s="3" t="s">
        <v>121</v>
      </c>
      <c r="D12" s="18"/>
    </row>
    <row r="13" spans="1:4" ht="16.95" customHeight="1" thickTop="1" x14ac:dyDescent="0.4">
      <c r="A13" s="54"/>
      <c r="B13" s="54"/>
      <c r="C13" s="55" t="s">
        <v>101</v>
      </c>
      <c r="D13" s="59"/>
    </row>
    <row r="14" spans="1:4" ht="16.95" customHeight="1" thickBot="1" x14ac:dyDescent="0.45">
      <c r="A14" s="14">
        <v>6</v>
      </c>
      <c r="B14" s="14"/>
      <c r="C14" s="14" t="s">
        <v>109</v>
      </c>
      <c r="D14" s="19"/>
    </row>
    <row r="15" spans="1:4" ht="16.95" customHeight="1" thickTop="1" thickBot="1" x14ac:dyDescent="0.45">
      <c r="A15">
        <v>7</v>
      </c>
      <c r="C15" t="s">
        <v>102</v>
      </c>
      <c r="D15" s="18"/>
    </row>
    <row r="16" spans="1:4" ht="16.95" customHeight="1" thickTop="1" x14ac:dyDescent="0.4">
      <c r="A16" s="9">
        <v>8</v>
      </c>
      <c r="B16" s="9"/>
      <c r="C16" s="23" t="s">
        <v>103</v>
      </c>
      <c r="D16" s="59"/>
    </row>
    <row r="17" spans="1:4" ht="16.95" customHeight="1" thickBot="1" x14ac:dyDescent="0.45">
      <c r="A17">
        <v>9</v>
      </c>
      <c r="C17" t="s">
        <v>108</v>
      </c>
      <c r="D17" s="19"/>
    </row>
    <row r="18" spans="1:4" ht="16.95" customHeight="1" thickTop="1" thickBot="1" x14ac:dyDescent="0.45">
      <c r="A18">
        <v>10</v>
      </c>
      <c r="C18" t="s">
        <v>100</v>
      </c>
      <c r="D18" s="18"/>
    </row>
    <row r="19" spans="1:4" ht="16.95" customHeight="1" thickTop="1" thickBot="1" x14ac:dyDescent="0.45">
      <c r="C19" t="s">
        <v>101</v>
      </c>
      <c r="D19" s="18"/>
    </row>
    <row r="20" spans="1:4" ht="16.95" customHeight="1" thickTop="1" thickBot="1" x14ac:dyDescent="0.45">
      <c r="A20">
        <v>12</v>
      </c>
      <c r="C20" t="s">
        <v>104</v>
      </c>
      <c r="D20" s="18"/>
    </row>
    <row r="21" spans="1:4" ht="16.95" customHeight="1" thickTop="1" x14ac:dyDescent="0.4">
      <c r="A21" s="54">
        <v>13</v>
      </c>
      <c r="B21" s="54"/>
      <c r="C21" s="55" t="s">
        <v>105</v>
      </c>
      <c r="D21" s="59"/>
    </row>
    <row r="22" spans="1:4" ht="16.95" customHeight="1" x14ac:dyDescent="0.4">
      <c r="A22" s="56">
        <v>14</v>
      </c>
      <c r="B22" s="56"/>
      <c r="C22" s="57" t="s">
        <v>106</v>
      </c>
      <c r="D22" s="60"/>
    </row>
    <row r="23" spans="1:4" ht="16.95" customHeight="1" thickBot="1" x14ac:dyDescent="0.45">
      <c r="A23">
        <v>15</v>
      </c>
      <c r="C23" t="s">
        <v>107</v>
      </c>
      <c r="D23" s="19"/>
    </row>
    <row r="24" spans="1:4" ht="15" thickTop="1" x14ac:dyDescent="0.4"/>
    <row r="26" spans="1:4" x14ac:dyDescent="0.4">
      <c r="B26" t="s">
        <v>122</v>
      </c>
    </row>
    <row r="27" spans="1:4" x14ac:dyDescent="0.4">
      <c r="B27" t="s">
        <v>123</v>
      </c>
    </row>
  </sheetData>
  <sheetProtection algorithmName="SHA-512" hashValue="Ov2kgaWqMHaX8s/Fhv4T1RH6AoYz39B95Tfwhgk9u1HCRCnZ1yLhqrTYiuNLtf1W8zTWEDzn/r5X/o+qJOHUzQ==" saltValue="ywy8kvIS7mJK9+kwGifhoA==" spinCount="100000" sheet="1" objects="1" scenarios="1"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Jahr 01_Checkliste A</vt:lpstr>
      <vt:lpstr>Jahr 01_Abr.tab.</vt:lpstr>
      <vt:lpstr>Jahr 01_Checkliste B</vt:lpstr>
      <vt:lpstr>Jahr 01_JA_GuV</vt:lpstr>
      <vt:lpstr>Jahr 01_JA_Bil</vt:lpstr>
      <vt:lpstr>Jahr 01_JA_KPIs</vt:lpstr>
      <vt:lpstr>Jahr 01_CashFlow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dcterms:created xsi:type="dcterms:W3CDTF">2024-01-02T08:45:53Z</dcterms:created>
  <dcterms:modified xsi:type="dcterms:W3CDTF">2026-01-04T21:20:55Z</dcterms:modified>
</cp:coreProperties>
</file>
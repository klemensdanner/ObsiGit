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svg" ContentType="image/svg+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trlProps/ctrlProp51.xml" ContentType="application/vnd.ms-excel.controlproperties+xml"/>
  <Override PartName="/xl/worksheets/sheet4.xml" ContentType="application/vnd.openxmlformats-officedocument.spreadsheetml.worksheet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46.xml" ContentType="application/vnd.ms-excel.controlproperties+xml"/>
  <Override PartName="/xl/worksheets/sheet3.xml" ContentType="application/vnd.openxmlformats-officedocument.spreadsheetml.worksheet+xml"/>
  <Override PartName="/xl/ctrlProps/ctrlProp45.xml" ContentType="application/vnd.ms-excel.controlproperties+xml"/>
  <Override PartName="/xl/drawings/drawing2.xml" ContentType="application/vnd.openxmlformats-officedocument.drawing+xml"/>
  <Override PartName="/xl/ctrlProps/ctrlProp44.xml" ContentType="application/vnd.ms-excel.controlproperties+xml"/>
  <Override PartName="/xl/ctrlProps/ctrlProp43.xml" ContentType="application/vnd.ms-excel.controlproperties+xml"/>
  <Override PartName="/xl/ctrlProps/ctrlProp47.xml" ContentType="application/vnd.ms-excel.controlproperties+xml"/>
  <Override PartName="/xl/ctrlProps/ctrlProp7.xml" ContentType="application/vnd.ms-excel.controlproperties+xml"/>
  <Override PartName="/xl/ctrlProps/ctrlProp6.xml" ContentType="application/vnd.ms-excel.controlproperties+xml"/>
  <Override PartName="/xl/ctrlProps/ctrlProp5.xml" ContentType="application/vnd.ms-excel.controlproperties+xml"/>
  <Override PartName="/xl/ctrlProps/ctrlProp15.xml" ContentType="application/vnd.ms-excel.controlproperties+xml"/>
  <Override PartName="/xl/ctrlProps/ctrlProp52.xml" ContentType="application/vnd.ms-excel.controlproperties+xml"/>
  <Override PartName="/xl/ctrlProps/ctrlProp12.xml" ContentType="application/vnd.ms-excel.controlproperties+xml"/>
  <Override PartName="/xl/ctrlProps/ctrlProp22.xml" ContentType="application/vnd.ms-excel.controlproperties+xml"/>
  <Override PartName="/xl/ctrlProps/ctrlProp25.xml" ContentType="application/vnd.ms-excel.controlproperties+xml"/>
  <Override PartName="/xl/comments1.xml" ContentType="application/vnd.openxmlformats-officedocument.spreadsheetml.comments+xml"/>
  <Override PartName="/xl/ctrlProps/ctrlProp2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4.xml" ContentType="application/vnd.ms-excel.controlproperties+xml"/>
  <Override PartName="/xl/ctrlProps/ctrlProp11.xml" ContentType="application/vnd.ms-excel.controlproperties+xml"/>
  <Override PartName="/xl/ctrlProps/ctrlProp16.xml" ContentType="application/vnd.ms-excel.control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ctrlProps/ctrlProp35.xml" ContentType="application/vnd.ms-excel.controlproperties+xml"/>
  <Override PartName="/xl/ctrlProps/ctrlProp8.xml" ContentType="application/vnd.ms-excel.controlproperties+xml"/>
  <Override PartName="/xl/ctrlProps/ctrlProp48.xml" ContentType="application/vnd.ms-excel.control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ctrlProps/ctrlProp39.xml" ContentType="application/vnd.ms-excel.controlproperties+xml"/>
  <Override PartName="/xl/ctrlProps/ctrlProp9.xml" ContentType="application/vnd.ms-excel.controlproperties+xml"/>
  <Override PartName="/xl/drawings/drawing4.xml" ContentType="application/vnd.openxmlformats-officedocument.drawing+xml"/>
  <Override PartName="/xl/ctrlProps/ctrlProp32.xml" ContentType="application/vnd.ms-excel.controlproperties+xml"/>
  <Override PartName="/xl/styles.xml" ContentType="application/vnd.openxmlformats-officedocument.spreadsheetml.styles+xml"/>
  <Override PartName="/xl/ctrlProps/ctrlProp2.xml" ContentType="application/vnd.ms-excel.controlproperties+xml"/>
  <Override PartName="/docProps/core.xml" ContentType="application/vnd.openxmlformats-package.core-properties+xml"/>
  <Override PartName="/xl/ctrlProps/ctrlProp38.xml" ContentType="application/vnd.ms-excel.controlproperties+xml"/>
  <Override PartName="/xl/drawings/drawing3.xml" ContentType="application/vnd.openxmlformats-officedocument.drawing+xml"/>
  <Override PartName="/xl/ctrlProps/ctrlProp13.xml" ContentType="application/vnd.ms-excel.controlproperties+xml"/>
  <Override PartName="/xl/sharedStrings.xml" ContentType="application/vnd.openxmlformats-officedocument.spreadsheetml.sharedStrings+xml"/>
  <Override PartName="/xl/ctrlProps/ctrlProp42.xml" ContentType="application/vnd.ms-excel.controlproperties+xml"/>
  <Override PartName="/xl/persons/person.xml" ContentType="application/vnd.ms-excel.person+xml"/>
  <Override PartName="/xl/ctrlProps/ctrlProp19.xml" ContentType="application/vnd.ms-excel.contro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trlProps/ctrlProp20.xml" ContentType="application/vnd.ms-excel.controlproperties+xml"/>
  <Override PartName="/xl/ctrlProps/ctrlProp1.xml" ContentType="application/vnd.ms-excel.controlproperties+xml"/>
  <Override PartName="/xl/ctrlProps/ctrlProp21.xml" ContentType="application/vnd.ms-excel.controlproperties+xml"/>
  <Override PartName="/xl/ctrlProps/ctrlProp24.xml" ContentType="application/vnd.ms-excel.controlproperties+xml"/>
  <Override PartName="/xl/ctrlProps/ctrlProp27.xml" ContentType="application/vnd.ms-excel.controlproperties+xml"/>
  <Override PartName="/xl/ctrlProps/ctrlProp10.xml" ContentType="application/vnd.ms-excel.controlproperties+xml"/>
  <Override PartName="/xl/ctrlProps/ctrlProp23.xml" ContentType="application/vnd.ms-excel.controlproperties+xml"/>
  <Override PartName="/xl/ctrlProps/ctrlProp33.xml" ContentType="application/vnd.ms-excel.controlproperties+xml"/>
  <Override PartName="/xl/ctrlProps/ctrlProp37.xml" ContentType="application/vnd.ms-excel.controlproperties+xml"/>
  <Override PartName="/xl/ctrlProps/ctrlProp28.xml" ContentType="application/vnd.ms-excel.controlproperties+xml"/>
  <Override PartName="/xl/ctrlProps/ctrlProp3.xml" ContentType="application/vnd.ms-excel.controlproperties+xml"/>
  <Override PartName="/xl/ctrlProps/ctrlProp36.xml" ContentType="application/vnd.ms-excel.controlproperties+xml"/>
  <Override PartName="/xl/ctrlProps/ctrlProp29.xml" ContentType="application/vnd.ms-excel.controlproperties+xml"/>
  <Override PartName="/xl/worksheets/sheet6.xml" ContentType="application/vnd.openxmlformats-officedocument.spreadsheetml.worksheet+xml"/>
  <Override PartName="/xl/ctrlProps/ctrlProp41.xml" ContentType="application/vnd.ms-excel.controlproperties+xml"/>
  <Override PartName="/xl/ctrlProps/ctrlProp30.xml" ContentType="application/vnd.ms-excel.controlproperties+xml"/>
  <Override PartName="/xl/worksheets/sheet5.xml" ContentType="application/vnd.openxmlformats-officedocument.spreadsheetml.worksheet+xml"/>
  <Override PartName="/xl/ctrlProps/ctrlProp31.xml" ContentType="application/vnd.ms-excel.controlproperties+xml"/>
  <Override PartName="/xl/ctrlProps/ctrlProp34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workbookAlgorithmName="SHA-512" workbookHashValue="uvwFF2TvfF4rpagu8J5KVieT53VViOgVioxcmg5JCMVy4FPHKXZaUp/aj3+3RifCC5sGloulAlJrgDjw7Uf3MQ==" workbookSaltValue="uZIKX7pjojVopcZGbvelGQ==" workbookSpinCount="100000" lockStructure="1"/>
  <bookViews>
    <workbookView xWindow="360" yWindow="15" windowWidth="20955" windowHeight="9720" activeTab="0"/>
  </bookViews>
  <sheets>
    <sheet name="Jahr 01_Checkliste A" sheetId="1" state="visible" r:id="rId3"/>
    <sheet name="Jahr 01_Abr.tab." sheetId="2" state="visible" r:id="rId4"/>
    <sheet name="Jahr 01_Checkliste B" sheetId="3" state="visible" r:id="rId5"/>
    <sheet name="Jahr 01_JA_GuV" sheetId="4" state="visible" r:id="rId6"/>
    <sheet name="Jahr 01_JA_Bil" sheetId="5" state="visible" r:id="rId7"/>
    <sheet name="Jahr 01_JA_KPIs" sheetId="6" state="visible" r:id="rId8"/>
    <sheet name="Jahr 01_CashFlow" sheetId="7" state="visible" r:id="rId9"/>
  </sheets>
  <definedNames>
    <definedName name="_xlnm.Print_Area" localSheetId="6">'Jahr 01_CashFlow'!$A$1:$E$27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tc={D08A6A90-0787-423E-9B89-D55E286F446D}</author>
  </authors>
  <commentList>
    <comment ref="A2" authorId="0" xr:uid="{D08A6A90-0787-423E-9B89-D55E286F446D}">
      <text>
        <r>
          <rPr>
            <b/>
            <sz val="9"/>
            <rFont val="Tahoma"/>
          </rPr>
          <t xml:space="preserve">Hinterholzer Stefan:</t>
        </r>
        <r>
          <rPr>
            <sz val="9"/>
            <rFont val="Tahoma"/>
          </rPr>
          <t xml:space="preserve">
Die durchgeführten Schritte hier abhaken
</t>
        </r>
      </text>
    </comment>
  </commentList>
</comments>
</file>

<file path=xl/sharedStrings.xml><?xml version="1.0" encoding="utf-8"?>
<sst xmlns="http://schemas.openxmlformats.org/spreadsheetml/2006/main" count="125" uniqueCount="125">
  <si>
    <t xml:space="preserve">Jahr 01 (Checkliste A)</t>
  </si>
  <si>
    <t>Q1</t>
  </si>
  <si>
    <t>Q2</t>
  </si>
  <si>
    <t>Q3</t>
  </si>
  <si>
    <t>Q4</t>
  </si>
  <si>
    <r>
      <t xml:space="preserve">Die Kunden  bezahlen. Bewegen Sie die Werteträger von </t>
    </r>
    <r>
      <rPr>
        <b/>
        <sz val="8"/>
        <color theme="1"/>
        <rFont val="Calibri"/>
        <scheme val="minor"/>
      </rPr>
      <t>Forderungen</t>
    </r>
    <r>
      <rPr>
        <sz val="8"/>
        <color theme="1"/>
        <rFont val="Calibri"/>
        <scheme val="minor"/>
      </rPr>
      <t xml:space="preserve"> zu </t>
    </r>
    <r>
      <rPr>
        <b/>
        <sz val="8"/>
        <color theme="1"/>
        <rFont val="Calibri"/>
        <scheme val="minor"/>
      </rPr>
      <t xml:space="preserve">Kassa und Bankguthaben</t>
    </r>
    <r>
      <rPr>
        <sz val="8"/>
        <color theme="1"/>
        <rFont val="Calibri"/>
        <scheme val="minor"/>
      </rPr>
      <t>.</t>
    </r>
  </si>
  <si>
    <r>
      <t xml:space="preserve">Liefern Sie die fertigen Produkte gemäß </t>
    </r>
    <r>
      <rPr>
        <b/>
        <sz val="8"/>
        <color theme="1"/>
        <rFont val="Calibri"/>
        <scheme val="minor"/>
      </rPr>
      <t>Auftrag</t>
    </r>
    <r>
      <rPr>
        <sz val="8"/>
        <color theme="1"/>
        <rFont val="Calibri"/>
        <scheme val="minor"/>
      </rPr>
      <t xml:space="preserve"> aus</t>
    </r>
  </si>
  <si>
    <r>
      <t xml:space="preserve">Notieren Sie die </t>
    </r>
    <r>
      <rPr>
        <b/>
        <sz val="8"/>
        <color theme="1"/>
        <rFont val="Calibri"/>
        <scheme val="minor"/>
      </rPr>
      <t>Herstellungskosten</t>
    </r>
    <r>
      <rPr>
        <sz val="8"/>
        <color theme="1"/>
        <rFont val="Calibri"/>
        <scheme val="minor"/>
      </rPr>
      <t xml:space="preserve"> für den entsprechenden Auftrag in der </t>
    </r>
    <r>
      <rPr>
        <b/>
        <sz val="8"/>
        <color theme="1"/>
        <rFont val="Calibri"/>
        <scheme val="minor"/>
      </rPr>
      <t>Abrechnungstabelle</t>
    </r>
    <r>
      <rPr>
        <sz val="8"/>
        <color theme="1"/>
        <rFont val="Calibri"/>
        <scheme val="minor"/>
      </rPr>
      <t xml:space="preserve"> auf der folgenden Seite.</t>
    </r>
  </si>
  <si>
    <r>
      <t xml:space="preserve">Stellen Sie eine </t>
    </r>
    <r>
      <rPr>
        <b/>
        <sz val="8"/>
        <color theme="1"/>
        <rFont val="Calibri"/>
        <scheme val="minor"/>
      </rPr>
      <t>Ausgangsrechnung</t>
    </r>
    <r>
      <rPr>
        <sz val="8"/>
        <color theme="1"/>
        <rFont val="Calibri"/>
        <scheme val="minor"/>
      </rPr>
      <t xml:space="preserve">. Platzieren Sie den </t>
    </r>
    <r>
      <rPr>
        <b/>
        <sz val="8"/>
        <color theme="1"/>
        <rFont val="Calibri"/>
        <scheme val="minor"/>
      </rPr>
      <t>Umsatzerlös</t>
    </r>
    <r>
      <rPr>
        <sz val="8"/>
        <color theme="1"/>
        <rFont val="Calibri"/>
        <scheme val="minor"/>
      </rPr>
      <t xml:space="preserve"> bei </t>
    </r>
    <r>
      <rPr>
        <b/>
        <sz val="8"/>
        <color theme="1"/>
        <rFont val="Calibri"/>
        <scheme val="minor"/>
      </rPr>
      <t>Forderungen</t>
    </r>
    <r>
      <rPr>
        <sz val="8"/>
        <color theme="1"/>
        <rFont val="Calibri"/>
        <scheme val="minor"/>
      </rPr>
      <t>.</t>
    </r>
  </si>
  <si>
    <r>
      <t xml:space="preserve">Führen Sie die Endmontage in der </t>
    </r>
    <r>
      <rPr>
        <b/>
        <sz val="8"/>
        <color theme="1"/>
        <rFont val="Calibri"/>
        <scheme val="minor"/>
      </rPr>
      <t xml:space="preserve">Fertigungsstufe 2</t>
    </r>
    <r>
      <rPr>
        <sz val="8"/>
        <color theme="1"/>
        <rFont val="Calibri"/>
        <scheme val="minor"/>
      </rPr>
      <t xml:space="preserve"> mit den bereits vorgefertigten Fabrikaten durch. Bezahlen Sie die </t>
    </r>
    <r>
      <rPr>
        <b/>
        <sz val="8"/>
        <color theme="1"/>
        <rFont val="Calibri"/>
        <scheme val="minor"/>
      </rPr>
      <t>Montagekosten</t>
    </r>
    <r>
      <rPr>
        <sz val="8"/>
        <color theme="1"/>
        <rFont val="Calibri"/>
        <scheme val="minor"/>
      </rPr>
      <t xml:space="preserve"> (1 M pro Los) aus </t>
    </r>
    <r>
      <rPr>
        <b/>
        <sz val="8"/>
        <color theme="1"/>
        <rFont val="Calibri"/>
        <scheme val="minor"/>
      </rPr>
      <t xml:space="preserve">Kassa und Bankguthaben</t>
    </r>
  </si>
  <si>
    <r>
      <t xml:space="preserve">Starten Sie neue Produktionsaufträge in der </t>
    </r>
    <r>
      <rPr>
        <b/>
        <sz val="8"/>
        <color theme="1"/>
        <rFont val="Calibri"/>
        <scheme val="minor"/>
      </rPr>
      <t xml:space="preserve">Fertigungsstufe 1</t>
    </r>
    <r>
      <rPr>
        <sz val="8"/>
        <color theme="1"/>
        <rFont val="Calibri"/>
        <scheme val="minor"/>
      </rPr>
      <t xml:space="preserve"> und bezahlen Sie die </t>
    </r>
    <r>
      <rPr>
        <b/>
        <sz val="8"/>
        <color theme="1"/>
        <rFont val="Calibri"/>
        <scheme val="minor"/>
      </rPr>
      <t>Produktionskosten</t>
    </r>
    <r>
      <rPr>
        <sz val="8"/>
        <color theme="1"/>
        <rFont val="Calibri"/>
        <scheme val="minor"/>
      </rPr>
      <t xml:space="preserve"> (3 M pro Los) aus </t>
    </r>
    <r>
      <rPr>
        <b/>
        <sz val="8"/>
        <color theme="1"/>
        <rFont val="Calibri"/>
        <scheme val="minor"/>
      </rPr>
      <t xml:space="preserve">Kassa und Bankguthaben</t>
    </r>
    <r>
      <rPr>
        <sz val="8"/>
        <color theme="1"/>
        <rFont val="Calibri"/>
        <scheme val="minor"/>
      </rPr>
      <t>.</t>
    </r>
  </si>
  <si>
    <r>
      <t xml:space="preserve">Nehmen Sie die </t>
    </r>
    <r>
      <rPr>
        <b/>
        <sz val="8"/>
        <color theme="1"/>
        <rFont val="Calibri"/>
        <scheme val="minor"/>
      </rPr>
      <t>Rohmateriallieferung</t>
    </r>
    <r>
      <rPr>
        <sz val="8"/>
        <color theme="1"/>
        <rFont val="Calibri"/>
        <scheme val="minor"/>
      </rPr>
      <t xml:space="preserve"> der Lieferanten (2 Lose) entgegen. Stellen Sie die Lieferung ins </t>
    </r>
    <r>
      <rPr>
        <b/>
        <sz val="8"/>
        <color theme="1"/>
        <rFont val="Calibri"/>
        <scheme val="minor"/>
      </rPr>
      <t>Materiallager</t>
    </r>
    <r>
      <rPr>
        <sz val="8"/>
        <color theme="1"/>
        <rFont val="Calibri"/>
        <scheme val="minor"/>
      </rPr>
      <t>.</t>
    </r>
  </si>
  <si>
    <r>
      <t xml:space="preserve">Bezahlen Sie das R</t>
    </r>
    <r>
      <rPr>
        <b/>
        <sz val="8"/>
        <color theme="1"/>
        <rFont val="Calibri"/>
        <scheme val="minor"/>
      </rPr>
      <t xml:space="preserve">ohmaterial </t>
    </r>
    <r>
      <rPr>
        <sz val="8"/>
        <color theme="1"/>
        <rFont val="Calibri"/>
        <scheme val="minor"/>
      </rPr>
      <t xml:space="preserve">(3 M pro Los) aus </t>
    </r>
    <r>
      <rPr>
        <b/>
        <sz val="8"/>
        <color theme="1"/>
        <rFont val="Calibri"/>
        <scheme val="minor"/>
      </rPr>
      <t xml:space="preserve">Kassa und Bankguthaben</t>
    </r>
    <r>
      <rPr>
        <sz val="8"/>
        <color theme="1"/>
        <rFont val="Calibri"/>
        <scheme val="minor"/>
      </rPr>
      <t>.</t>
    </r>
  </si>
  <si>
    <r>
      <t xml:space="preserve">Bestellen Sie </t>
    </r>
    <r>
      <rPr>
        <b/>
        <sz val="8"/>
        <color theme="1"/>
        <rFont val="Calibri"/>
        <scheme val="minor"/>
      </rPr>
      <t>Rohmaterial</t>
    </r>
    <r>
      <rPr>
        <sz val="8"/>
        <color theme="1"/>
        <rFont val="Calibri"/>
        <scheme val="minor"/>
      </rPr>
      <t xml:space="preserve"> für das nächste Quartal. Platzieren Sie 2 leere Werteträger bei den </t>
    </r>
    <r>
      <rPr>
        <b/>
        <sz val="8"/>
        <color theme="1"/>
        <rFont val="Calibri"/>
        <scheme val="minor"/>
      </rPr>
      <t>Lieferanten</t>
    </r>
    <r>
      <rPr>
        <sz val="8"/>
        <color theme="1"/>
        <rFont val="Calibri"/>
        <scheme val="minor"/>
      </rPr>
      <t>.</t>
    </r>
  </si>
  <si>
    <r>
      <t xml:space="preserve">Bezahlen Sie die </t>
    </r>
    <r>
      <rPr>
        <b/>
        <sz val="8"/>
        <color theme="1"/>
        <rFont val="Calibri"/>
        <scheme val="minor"/>
      </rPr>
      <t>Gemeinkosten</t>
    </r>
    <r>
      <rPr>
        <sz val="8"/>
        <color theme="1"/>
        <rFont val="Calibri"/>
        <scheme val="minor"/>
      </rPr>
      <t xml:space="preserve"> für Verwaltung, Vertrieb sowie Forschung und Entwicklung (6 M) aus </t>
    </r>
    <r>
      <rPr>
        <b/>
        <sz val="8"/>
        <color theme="1"/>
        <rFont val="Calibri"/>
        <scheme val="minor"/>
      </rPr>
      <t xml:space="preserve">Kassa und Bankguthaben</t>
    </r>
    <r>
      <rPr>
        <sz val="8"/>
        <color theme="1"/>
        <rFont val="Calibri"/>
        <scheme val="minor"/>
      </rPr>
      <t>.</t>
    </r>
  </si>
  <si>
    <t xml:space="preserve">Jahr 01 Abrechnungstabelle</t>
  </si>
  <si>
    <t>Auftragsnummer</t>
  </si>
  <si>
    <t>Liefertermin</t>
  </si>
  <si>
    <t xml:space="preserve">Menge (in Losen)</t>
  </si>
  <si>
    <t>Auftragswert</t>
  </si>
  <si>
    <t>Herstellungskosten</t>
  </si>
  <si>
    <t xml:space="preserve">Rechnung gestellt</t>
  </si>
  <si>
    <t>01/Q1</t>
  </si>
  <si>
    <t>01/Q2</t>
  </si>
  <si>
    <t>01/Q3</t>
  </si>
  <si>
    <t>01/Q4</t>
  </si>
  <si>
    <t>Summe</t>
  </si>
  <si>
    <t xml:space="preserve">Jahr 01 (Checkliste B) am Jahresende</t>
  </si>
  <si>
    <t>Aufgabe</t>
  </si>
  <si>
    <r>
      <t xml:space="preserve">Bezahlen Sie die </t>
    </r>
    <r>
      <rPr>
        <b/>
        <sz val="8"/>
        <color theme="1"/>
        <rFont val="Calibri"/>
        <scheme val="minor"/>
      </rPr>
      <t>Zinsen</t>
    </r>
    <r>
      <rPr>
        <sz val="8"/>
        <color theme="1"/>
        <rFont val="Calibri"/>
        <scheme val="minor"/>
      </rPr>
      <t xml:space="preserve"> für die in Anspruch genommen Kredite. Der Zinssatz beträgt 10% p.a. und ihr Kreditvolumen beläuft sich auf 100 M.</t>
    </r>
  </si>
  <si>
    <r>
      <t xml:space="preserve">Entnehmen Sie den entsprechenden Betrag aus </t>
    </r>
    <r>
      <rPr>
        <b/>
        <sz val="8"/>
        <color theme="1"/>
        <rFont val="Calibri"/>
        <scheme val="minor"/>
      </rPr>
      <t xml:space="preserve">Kassa und Bankguthaben</t>
    </r>
    <r>
      <rPr>
        <sz val="8"/>
        <color theme="1"/>
        <rFont val="Calibri"/>
        <scheme val="minor"/>
      </rPr>
      <t xml:space="preserve"> und legen Sie diesen in den Werteträger auf dem Feld </t>
    </r>
    <r>
      <rPr>
        <b/>
        <sz val="8"/>
        <color theme="1"/>
        <rFont val="Calibri"/>
        <scheme val="minor"/>
      </rPr>
      <t>Zinsen</t>
    </r>
  </si>
  <si>
    <r>
      <t xml:space="preserve">Führen Sie die </t>
    </r>
    <r>
      <rPr>
        <b/>
        <sz val="8"/>
        <color theme="1"/>
        <rFont val="Calibri"/>
        <scheme val="minor"/>
      </rPr>
      <t xml:space="preserve">Abschreibung (AfA)</t>
    </r>
    <r>
      <rPr>
        <sz val="8"/>
        <color theme="1"/>
        <rFont val="Calibri"/>
        <scheme val="minor"/>
      </rPr>
      <t xml:space="preserve"> durch. Entnehmen Sie dazu den Werteträgern auf den entsprechenden Feldern im Anlagevermögen:</t>
    </r>
  </si>
  <si>
    <r>
      <t xml:space="preserve">AfA für </t>
    </r>
    <r>
      <rPr>
        <b/>
        <sz val="8"/>
        <color theme="1"/>
        <rFont val="Calibri"/>
        <scheme val="minor"/>
      </rPr>
      <t>Gebäude</t>
    </r>
    <r>
      <rPr>
        <sz val="8"/>
        <color theme="1"/>
        <rFont val="Calibri"/>
        <scheme val="minor"/>
      </rPr>
      <t xml:space="preserve"> (1 M)</t>
    </r>
  </si>
  <si>
    <r>
      <t xml:space="preserve">AfA für </t>
    </r>
    <r>
      <rPr>
        <b/>
        <sz val="8"/>
        <color theme="1"/>
        <rFont val="Calibri"/>
        <scheme val="minor"/>
      </rPr>
      <t>Maschinen</t>
    </r>
    <r>
      <rPr>
        <sz val="8"/>
        <color theme="1"/>
        <rFont val="Calibri"/>
        <scheme val="minor"/>
      </rPr>
      <t xml:space="preserve"> (5 M)</t>
    </r>
  </si>
  <si>
    <r>
      <t xml:space="preserve">AfA für </t>
    </r>
    <r>
      <rPr>
        <b/>
        <sz val="8"/>
        <color theme="1"/>
        <rFont val="Calibri"/>
        <scheme val="minor"/>
      </rPr>
      <t xml:space="preserve">Betriebs- und Geschäftsausstattung</t>
    </r>
    <r>
      <rPr>
        <sz val="8"/>
        <color theme="1"/>
        <rFont val="Calibri"/>
        <scheme val="minor"/>
      </rPr>
      <t xml:space="preserve"> (3 M)</t>
    </r>
  </si>
  <si>
    <r>
      <t xml:space="preserve">Legen Sie die Beträge in den Werteträger </t>
    </r>
    <r>
      <rPr>
        <b/>
        <sz val="8"/>
        <color theme="1"/>
        <rFont val="Calibri"/>
        <scheme val="minor"/>
      </rPr>
      <t>Abschreibungen</t>
    </r>
    <r>
      <rPr>
        <sz val="8"/>
        <color theme="1"/>
        <rFont val="Calibri"/>
        <scheme val="minor"/>
      </rPr>
      <t xml:space="preserve"> in der GuV</t>
    </r>
  </si>
  <si>
    <t xml:space="preserve">Jahr 01 (JA_GuV)</t>
  </si>
  <si>
    <t xml:space="preserve">Erstellen Sie eine staffelförmige GuV-Rechnung</t>
  </si>
  <si>
    <t xml:space="preserve">Gewinn- und Verlustrechnung (in M)</t>
  </si>
  <si>
    <t xml:space="preserve">Jahr 00</t>
  </si>
  <si>
    <t xml:space="preserve">Jahr 01</t>
  </si>
  <si>
    <t>Umsatzerlöse</t>
  </si>
  <si>
    <t xml:space="preserve">- Herstellungskosten</t>
  </si>
  <si>
    <t>Deckungsbeitrag</t>
  </si>
  <si>
    <t xml:space="preserve">- Gemeinkosten</t>
  </si>
  <si>
    <t xml:space="preserve">- Abschreibungen (AfA)</t>
  </si>
  <si>
    <t xml:space="preserve">EBIT (Betriebsergebnis)</t>
  </si>
  <si>
    <t xml:space="preserve">- Zinsen</t>
  </si>
  <si>
    <t xml:space="preserve">Jahresergebnis vor Steuern </t>
  </si>
  <si>
    <t xml:space="preserve">- Steuern (1/3)</t>
  </si>
  <si>
    <t xml:space="preserve">Jahresergebnis nach Steuern </t>
  </si>
  <si>
    <t xml:space="preserve">Buchen Sie die Steuerverbindlichkeiten</t>
  </si>
  <si>
    <t xml:space="preserve">Legen Sie dazu 1M (von außen !!) in einen Werteträger</t>
  </si>
  <si>
    <t xml:space="preserve">auf dem Feld kurzfristige Verbindlichkeiten</t>
  </si>
  <si>
    <t xml:space="preserve">Jahr 01 (JA_Bil)</t>
  </si>
  <si>
    <t xml:space="preserve">Erstellen Sie die Bilanz</t>
  </si>
  <si>
    <t>AKTIVA</t>
  </si>
  <si>
    <t>Anlagevermögen</t>
  </si>
  <si>
    <t>Grundstücke</t>
  </si>
  <si>
    <t>Gebäude</t>
  </si>
  <si>
    <t>Maschinen</t>
  </si>
  <si>
    <t xml:space="preserve">Betriebs- und Geschäfsausstattung</t>
  </si>
  <si>
    <t xml:space="preserve">Summe Anlagevermögen</t>
  </si>
  <si>
    <t>Umlaufvermögen</t>
  </si>
  <si>
    <t>Vorräte</t>
  </si>
  <si>
    <t xml:space="preserve">Roh-, Hilfs- und Betriebsstoffe</t>
  </si>
  <si>
    <t xml:space="preserve">unfertige Erzeugnisse</t>
  </si>
  <si>
    <t xml:space="preserve">fertige Erzeugnisse</t>
  </si>
  <si>
    <t>Forderungen</t>
  </si>
  <si>
    <t xml:space="preserve">Kassa und Bankguthaben</t>
  </si>
  <si>
    <t xml:space="preserve">Summe Umlaufvermögen</t>
  </si>
  <si>
    <t xml:space="preserve">SUMME AKTIVA</t>
  </si>
  <si>
    <t>PASSIVA</t>
  </si>
  <si>
    <t>Eigenkapital</t>
  </si>
  <si>
    <t>Grundkapital</t>
  </si>
  <si>
    <t>Gewinnrücklage</t>
  </si>
  <si>
    <t xml:space="preserve">Gewinn/(Verlust lfd. Jahr n. Steuern</t>
  </si>
  <si>
    <t xml:space="preserve">Summe Eigenkapital</t>
  </si>
  <si>
    <t>Fremdkapital</t>
  </si>
  <si>
    <t xml:space="preserve">Langfristiges Fremdkapital</t>
  </si>
  <si>
    <t xml:space="preserve">Kurzfristiges Fremdkapital</t>
  </si>
  <si>
    <t xml:space="preserve">Summe Fremdkapital</t>
  </si>
  <si>
    <t xml:space="preserve">SUMME PASSIVA</t>
  </si>
  <si>
    <t xml:space="preserve">Jahr 01 (JA_KPIs)</t>
  </si>
  <si>
    <t>Aufgabe:</t>
  </si>
  <si>
    <t xml:space="preserve">Übertragen Sie die Ergebnisse aus der GuV und der Bilanz in das Erfolgskennzahlen-System, die sogenannte DuPont-Matrix, </t>
  </si>
  <si>
    <t xml:space="preserve">Berechnen Sie die Rentabilität genauer die Gesamtkapitalrentabilität (ROI) und die Eigenkapitalrentabilität (ROE)</t>
  </si>
  <si>
    <t xml:space="preserve">Ermitteln Sie außerdem die Umsatzrentabilität (ROS)</t>
  </si>
  <si>
    <t xml:space="preserve">Umsatzrentabilität (ROS) </t>
  </si>
  <si>
    <t xml:space="preserve">Deckungsbeitrag </t>
  </si>
  <si>
    <t xml:space="preserve">EBIT </t>
  </si>
  <si>
    <t xml:space="preserve">Zinsen + Steuern </t>
  </si>
  <si>
    <t xml:space="preserve">Gemeinkosten + Abschreibungen </t>
  </si>
  <si>
    <t xml:space="preserve">Gewinn/Verlust nach Steuern </t>
  </si>
  <si>
    <t xml:space="preserve">Gesamtkapitalrentabilität (ROI)</t>
  </si>
  <si>
    <t xml:space="preserve">Eigenkapitalrentabilität (ROE)</t>
  </si>
  <si>
    <t xml:space="preserve"> Vorräte</t>
  </si>
  <si>
    <t xml:space="preserve">Gesamtvermögen bzw. -kap. </t>
  </si>
  <si>
    <t xml:space="preserve"> Forderungen</t>
  </si>
  <si>
    <t xml:space="preserve"> Kassa und Bankguth.</t>
  </si>
  <si>
    <t xml:space="preserve">Umsatzrendite = (EBIT * 100)/Umsatzerlöse</t>
  </si>
  <si>
    <t xml:space="preserve">Gesamtkapitalrendite = (EBIT * 100) / Gesamtkapital</t>
  </si>
  <si>
    <t xml:space="preserve">Eigenkapitalrendite = (Gewinn/Verlust nach Steuern / Eigenkapital</t>
  </si>
  <si>
    <t xml:space="preserve">Jahr 01 (JA_CashFlow-Statement)</t>
  </si>
  <si>
    <t xml:space="preserve">Übertragen Sie die Ergebnisse aus der Gewinn- und Verlustrechnung </t>
  </si>
  <si>
    <t xml:space="preserve">und der Bilanz in die Kapitalflussrechnung (Cash Flow-Statement)</t>
  </si>
  <si>
    <t xml:space="preserve">Gewinn nach Steuern</t>
  </si>
  <si>
    <t xml:space="preserve">Abschreibung (AfA)</t>
  </si>
  <si>
    <t xml:space="preserve">Zunahme der Vorräte</t>
  </si>
  <si>
    <t xml:space="preserve">Abnahme der Vorräte</t>
  </si>
  <si>
    <t xml:space="preserve">Zunahme der Forderungen</t>
  </si>
  <si>
    <t xml:space="preserve">Abnahme der Forderungen</t>
  </si>
  <si>
    <t xml:space="preserve">Zunahme der Verbindlichkeiten aus L. &amp; L.</t>
  </si>
  <si>
    <t xml:space="preserve">Abnahme der Verbindlichkeiten</t>
  </si>
  <si>
    <t xml:space="preserve">Cash Flow aus der Geschäftstätigkeit (1-5)</t>
  </si>
  <si>
    <t>Investitionen</t>
  </si>
  <si>
    <t xml:space="preserve">Erlöse aus Anlagenabgängen</t>
  </si>
  <si>
    <t xml:space="preserve">Cash Flow aus der Investitionstätigkeit (7-8)</t>
  </si>
  <si>
    <t xml:space="preserve">Zunahme der Verbindlichkeiten</t>
  </si>
  <si>
    <t xml:space="preserve">Einzahlungen aus der Ausgabe von Aktien</t>
  </si>
  <si>
    <t xml:space="preserve">Bezahlte Dividenden</t>
  </si>
  <si>
    <t xml:space="preserve">Cash Flow aus der Finanzierungstätigkeit (10-13)</t>
  </si>
  <si>
    <t xml:space="preserve">Veränderungen der Zahlungsmittel (6+9+14)</t>
  </si>
  <si>
    <t xml:space="preserve">* L. &amp; L. heißt Lieferungen und Leistungen (auf Ziel)</t>
  </si>
  <si>
    <t xml:space="preserve">** ohne Verbindlichkeiten aus Lieferungen und Leistungen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</si>
</sst>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8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0"/>
      <name val="Calibri"/>
      <scheme val="minor"/>
    </font>
    <font>
      <b/>
      <sz val="11.000000"/>
      <color theme="0"/>
      <name val="Calibri"/>
      <scheme val="minor"/>
    </font>
    <font>
      <sz val="11.000000"/>
      <name val="Calibri"/>
      <scheme val="minor"/>
    </font>
    <font>
      <sz val="14.000000"/>
      <color theme="0"/>
      <name val="Calibri"/>
      <scheme val="minor"/>
    </font>
    <font>
      <sz val="11.000000"/>
      <color theme="0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7" tint="0.79998168889431442"/>
      </patternFill>
    </fill>
    <fill>
      <patternFill patternType="solid">
        <fgColor theme="8" tint="0.79998168889431442"/>
      </patternFill>
    </fill>
    <fill>
      <patternFill patternType="solid">
        <fgColor theme="8" tint="-0.249977111117893"/>
      </patternFill>
    </fill>
    <fill>
      <patternFill patternType="solid">
        <fgColor theme="8" tint="0.59999389629810485"/>
      </patternFill>
    </fill>
    <fill>
      <patternFill patternType="solid">
        <fgColor theme="2" tint="-0.249977111117893"/>
      </patternFill>
    </fill>
    <fill>
      <patternFill patternType="solid">
        <fgColor theme="0"/>
      </patternFill>
    </fill>
    <fill>
      <patternFill patternType="solid">
        <fgColor theme="1"/>
        <bgColor theme="8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65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2"/>
      </patternFill>
    </fill>
  </fills>
  <borders count="36">
    <border>
      <left style="none"/>
      <right style="none"/>
      <top style="none"/>
      <bottom style="none"/>
      <diagonal style="none"/>
    </border>
    <border>
      <left style="thick">
        <color theme="0"/>
      </left>
      <right style="none"/>
      <top style="thick">
        <color theme="0"/>
      </top>
      <bottom style="thick">
        <color theme="0"/>
      </bottom>
      <diagonal style="none"/>
    </border>
    <border>
      <left style="none"/>
      <right style="none"/>
      <top style="thick">
        <color theme="0"/>
      </top>
      <bottom style="thick">
        <color theme="0"/>
      </bottom>
      <diagonal style="none"/>
    </border>
    <border>
      <left style="none"/>
      <right style="thick">
        <color theme="0"/>
      </right>
      <top style="thick">
        <color theme="0"/>
      </top>
      <bottom style="thick">
        <color theme="0"/>
      </bottom>
      <diagonal style="none"/>
    </border>
    <border>
      <left style="thick">
        <color theme="0"/>
      </left>
      <right style="thick">
        <color theme="0"/>
      </right>
      <top style="none"/>
      <bottom style="thick">
        <color theme="0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medium">
        <color auto="1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none"/>
      <diagonal style="none"/>
    </border>
    <border>
      <left style="none"/>
      <right style="thick">
        <color theme="0"/>
      </right>
      <top style="none"/>
      <bottom style="thin">
        <color auto="1"/>
      </bottom>
      <diagonal style="none"/>
    </border>
    <border>
      <left style="thick">
        <color theme="0"/>
      </left>
      <right style="thick">
        <color theme="0"/>
      </right>
      <top style="none"/>
      <bottom style="medium">
        <color auto="1"/>
      </bottom>
      <diagonal style="none"/>
    </border>
    <border>
      <left style="thick">
        <color theme="0"/>
      </left>
      <right style="thick">
        <color theme="0"/>
      </right>
      <top style="none"/>
      <bottom style="none"/>
      <diagonal style="none"/>
    </border>
    <border>
      <left style="none"/>
      <right style="none"/>
      <top style="none"/>
      <bottom style="thick">
        <color theme="0"/>
      </bottom>
      <diagonal style="none"/>
    </border>
    <border>
      <left style="none"/>
      <right style="none"/>
      <top style="thick">
        <color theme="0"/>
      </top>
      <bottom style="thin">
        <color auto="1"/>
      </bottom>
      <diagonal style="none"/>
    </border>
    <border>
      <left style="none"/>
      <right style="thick">
        <color theme="0"/>
      </right>
      <top style="thick">
        <color theme="0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  <border>
      <left style="thick">
        <color theme="0"/>
      </left>
      <right style="thick">
        <color theme="0"/>
      </right>
      <top style="thin">
        <color auto="1"/>
      </top>
      <bottom style="double">
        <color auto="1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thin">
        <color auto="1"/>
      </bottom>
      <diagonal style="none"/>
    </border>
    <border>
      <left style="thick">
        <color theme="0"/>
      </left>
      <right style="thick">
        <color theme="0"/>
      </right>
      <top style="medium">
        <color auto="1"/>
      </top>
      <bottom style="thick">
        <color theme="0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ck">
        <color theme="0"/>
      </right>
      <top style="thin">
        <color auto="1"/>
      </top>
      <bottom style="thin">
        <color auto="1"/>
      </bottom>
      <diagonal style="none"/>
    </border>
    <border>
      <left style="thick">
        <color theme="0"/>
      </left>
      <right style="thick">
        <color theme="0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thick">
        <color theme="0"/>
      </left>
      <right style="thick">
        <color theme="0"/>
      </right>
      <top style="none"/>
      <bottom style="double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ck">
        <color theme="0"/>
      </right>
      <top style="none"/>
      <bottom style="thin">
        <color theme="1"/>
      </bottom>
      <diagonal style="none"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ck">
        <color theme="0"/>
      </right>
      <top style="thin">
        <color theme="1"/>
      </top>
      <bottom style="thin">
        <color theme="1"/>
      </bottom>
      <diagonal style="none"/>
    </border>
    <border>
      <left style="thick">
        <color theme="0"/>
      </left>
      <right style="thick">
        <color theme="0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80">
    <xf fontId="0" fillId="0" borderId="0" numFmtId="0" xfId="0"/>
    <xf fontId="1" fillId="0" borderId="0" numFmtId="0" xfId="0" applyFont="1"/>
    <xf fontId="2" fillId="0" borderId="0" numFmtId="0" xfId="0" applyFont="1"/>
    <xf fontId="3" fillId="2" borderId="0" numFmtId="0" xfId="0" applyFont="1" applyFill="1"/>
    <xf fontId="1" fillId="3" borderId="0" numFmtId="0" xfId="0" applyFont="1" applyFill="1" applyAlignment="1" applyProtection="1">
      <alignment horizontal="center"/>
      <protection locked="0"/>
    </xf>
    <xf fontId="0" fillId="4" borderId="0" numFmtId="0" xfId="0" applyFill="1" applyProtection="1">
      <protection locked="0"/>
    </xf>
    <xf fontId="1" fillId="4" borderId="0" numFmtId="0" xfId="0" applyFont="1" applyFill="1" applyAlignment="1">
      <alignment wrapText="1"/>
    </xf>
    <xf fontId="0" fillId="0" borderId="0" numFmtId="0" xfId="0" applyProtection="1">
      <protection locked="0"/>
    </xf>
    <xf fontId="1" fillId="0" borderId="0" numFmtId="0" xfId="0" applyFont="1" applyAlignment="1">
      <alignment wrapText="1"/>
    </xf>
    <xf fontId="4" fillId="5" borderId="1" numFmtId="0" xfId="0" applyFont="1" applyFill="1" applyBorder="1"/>
    <xf fontId="4" fillId="5" borderId="2" numFmtId="0" xfId="0" applyFont="1" applyFill="1" applyBorder="1"/>
    <xf fontId="4" fillId="5" borderId="3" numFmtId="0" xfId="0" applyFont="1" applyFill="1" applyBorder="1"/>
    <xf fontId="0" fillId="0" borderId="0" numFmtId="0" xfId="0" applyAlignment="1">
      <alignment horizontal="center"/>
    </xf>
    <xf fontId="5" fillId="3" borderId="4" numFmtId="0" xfId="0" applyFont="1" applyFill="1" applyBorder="1" applyProtection="1">
      <protection locked="0"/>
    </xf>
    <xf fontId="0" fillId="3" borderId="0" numFmtId="0" xfId="0" applyFill="1" applyProtection="1">
      <protection locked="0"/>
    </xf>
    <xf fontId="5" fillId="3" borderId="5" numFmtId="0" xfId="0" applyFont="1" applyFill="1" applyBorder="1" applyProtection="1">
      <protection locked="0"/>
    </xf>
    <xf fontId="6" fillId="2" borderId="0" numFmtId="0" xfId="0" applyFont="1" applyFill="1"/>
    <xf fontId="0" fillId="4" borderId="0" numFmtId="0" xfId="0" applyFill="1"/>
    <xf fontId="0" fillId="4" borderId="0" numFmtId="0" xfId="0" applyFill="1" applyAlignment="1">
      <alignment horizontal="center"/>
    </xf>
    <xf fontId="0" fillId="3" borderId="5" numFmtId="0" xfId="0" applyFill="1" applyBorder="1" applyProtection="1">
      <protection locked="0"/>
    </xf>
    <xf fontId="0" fillId="4" borderId="6" numFmtId="0" xfId="0" applyFill="1" applyBorder="1" quotePrefix="1"/>
    <xf fontId="0" fillId="4" borderId="6" numFmtId="0" xfId="0" applyFill="1" applyBorder="1"/>
    <xf fontId="0" fillId="3" borderId="7" numFmtId="0" xfId="0" applyFill="1" applyBorder="1" applyProtection="1">
      <protection locked="0"/>
    </xf>
    <xf fontId="0" fillId="0" borderId="0" numFmtId="0" xfId="0" quotePrefix="1"/>
    <xf fontId="0" fillId="3" borderId="4" numFmtId="0" xfId="0" applyFill="1" applyBorder="1" applyProtection="1">
      <protection locked="0"/>
    </xf>
    <xf fontId="0" fillId="4" borderId="0" numFmtId="0" xfId="0" applyFill="1" quotePrefix="1"/>
    <xf fontId="0" fillId="0" borderId="6" numFmtId="0" xfId="0" applyBorder="1" quotePrefix="1"/>
    <xf fontId="0" fillId="0" borderId="6" numFmtId="0" xfId="0" applyBorder="1"/>
    <xf fontId="0" fillId="6" borderId="0" numFmtId="0" xfId="0" applyFill="1"/>
    <xf fontId="7" fillId="7" borderId="0" numFmtId="0" xfId="0" applyFont="1" applyFill="1"/>
    <xf fontId="0" fillId="3" borderId="8" numFmtId="0" xfId="0" applyFill="1" applyBorder="1" applyProtection="1">
      <protection locked="0"/>
    </xf>
    <xf fontId="0" fillId="4" borderId="9" numFmtId="0" xfId="0" applyFill="1" applyBorder="1"/>
    <xf fontId="0" fillId="3" borderId="10" numFmtId="0" xfId="0" applyFill="1" applyBorder="1" applyProtection="1">
      <protection locked="0"/>
    </xf>
    <xf fontId="8" fillId="0" borderId="6" numFmtId="0" xfId="0" applyFont="1" applyBorder="1" quotePrefix="1"/>
    <xf fontId="8" fillId="4" borderId="0" numFmtId="0" xfId="0" applyFont="1" applyFill="1" quotePrefix="1"/>
    <xf fontId="0" fillId="0" borderId="11" numFmtId="0" xfId="0" applyBorder="1" applyProtection="1">
      <protection locked="0"/>
    </xf>
    <xf fontId="0" fillId="0" borderId="12" numFmtId="0" xfId="0" applyBorder="1" quotePrefix="1"/>
    <xf fontId="0" fillId="0" borderId="12" numFmtId="0" xfId="0" applyBorder="1"/>
    <xf fontId="0" fillId="4" borderId="12" numFmtId="0" xfId="0" applyFill="1" applyBorder="1" quotePrefix="1"/>
    <xf fontId="0" fillId="4" borderId="12" numFmtId="0" xfId="0" applyFill="1" applyBorder="1"/>
    <xf fontId="0" fillId="0" borderId="13" numFmtId="0" xfId="0" applyBorder="1"/>
    <xf fontId="0" fillId="0" borderId="14" numFmtId="0" xfId="0" applyBorder="1"/>
    <xf fontId="8" fillId="4" borderId="6" numFmtId="0" xfId="0" applyFont="1" applyFill="1" applyBorder="1" quotePrefix="1"/>
    <xf fontId="0" fillId="3" borderId="11" numFmtId="0" xfId="0" applyFill="1" applyBorder="1" applyProtection="1">
      <protection locked="0"/>
    </xf>
    <xf fontId="8" fillId="8" borderId="15" numFmtId="0" xfId="0" applyFont="1" applyFill="1" applyBorder="1"/>
    <xf fontId="0" fillId="8" borderId="15" numFmtId="0" xfId="0" applyFill="1" applyBorder="1"/>
    <xf fontId="0" fillId="3" borderId="16" numFmtId="0" xfId="0" applyFill="1" applyBorder="1" applyProtection="1">
      <protection locked="0"/>
    </xf>
    <xf fontId="0" fillId="3" borderId="17" numFmtId="0" xfId="0" applyFill="1" applyBorder="1" applyProtection="1">
      <protection locked="0"/>
    </xf>
    <xf fontId="8" fillId="4" borderId="6" numFmtId="0" xfId="0" applyFont="1" applyFill="1" applyBorder="1"/>
    <xf fontId="0" fillId="0" borderId="18" numFmtId="0" xfId="0" applyBorder="1" applyProtection="1">
      <protection locked="0"/>
    </xf>
    <xf fontId="8" fillId="0" borderId="19" numFmtId="0" xfId="0" applyFont="1" applyBorder="1" quotePrefix="1"/>
    <xf fontId="0" fillId="0" borderId="19" numFmtId="0" xfId="0" applyBorder="1"/>
    <xf fontId="0" fillId="0" borderId="20" numFmtId="0" xfId="0" applyBorder="1"/>
    <xf fontId="0" fillId="3" borderId="21" numFmtId="0" xfId="0" applyFill="1" applyBorder="1" applyProtection="1">
      <protection locked="0"/>
    </xf>
    <xf fontId="8" fillId="8" borderId="22" numFmtId="0" xfId="0" applyFont="1" applyFill="1" applyBorder="1"/>
    <xf fontId="0" fillId="8" borderId="22" numFmtId="0" xfId="0" applyFill="1" applyBorder="1"/>
    <xf fontId="0" fillId="3" borderId="23" numFmtId="0" xfId="0" applyFill="1" applyBorder="1" applyProtection="1">
      <protection locked="0"/>
    </xf>
    <xf fontId="2" fillId="2" borderId="0" numFmtId="0" xfId="0" applyFont="1" applyFill="1"/>
    <xf fontId="5" fillId="0" borderId="0" numFmtId="0" xfId="0" applyFont="1"/>
    <xf fontId="9" fillId="0" borderId="0" numFmtId="0" xfId="0" applyFont="1"/>
    <xf fontId="9" fillId="3" borderId="0" numFmtId="0" xfId="0" applyFont="1" applyFill="1"/>
    <xf fontId="4" fillId="0" borderId="0" numFmtId="0" xfId="0" applyFont="1"/>
    <xf fontId="4" fillId="9" borderId="24" numFmtId="0" xfId="0" applyFont="1" applyFill="1" applyBorder="1" applyAlignment="1">
      <alignment horizontal="center"/>
    </xf>
    <xf fontId="4" fillId="9" borderId="25" numFmtId="0" xfId="0" applyFont="1" applyFill="1" applyBorder="1" applyAlignment="1">
      <alignment horizontal="center"/>
    </xf>
    <xf fontId="0" fillId="10" borderId="24" numFmtId="0" xfId="0" applyFill="1" applyBorder="1" applyAlignment="1">
      <alignment horizontal="center"/>
    </xf>
    <xf fontId="0" fillId="10" borderId="25" numFmtId="0" xfId="0" applyFill="1" applyBorder="1" applyAlignment="1">
      <alignment horizontal="center"/>
    </xf>
    <xf fontId="0" fillId="11" borderId="26" numFmtId="0" xfId="0" applyFill="1" applyBorder="1"/>
    <xf fontId="0" fillId="11" borderId="27" numFmtId="0" xfId="0" applyFill="1" applyBorder="1"/>
    <xf fontId="0" fillId="10" borderId="28" numFmtId="9" xfId="1" applyNumberFormat="1" applyFill="1" applyBorder="1"/>
    <xf fontId="0" fillId="12" borderId="29" numFmtId="10" xfId="0" applyNumberFormat="1" applyFill="1" applyBorder="1" applyProtection="1">
      <protection locked="0"/>
    </xf>
    <xf fontId="0" fillId="10" borderId="28" numFmtId="0" xfId="0" applyFill="1" applyBorder="1"/>
    <xf fontId="0" fillId="12" borderId="29" numFmtId="0" xfId="0" applyFill="1" applyBorder="1" applyProtection="1">
      <protection locked="0"/>
    </xf>
    <xf fontId="0" fillId="12" borderId="29" numFmtId="9" xfId="0" applyNumberFormat="1" applyFill="1" applyBorder="1" applyProtection="1">
      <protection locked="0"/>
    </xf>
    <xf fontId="0" fillId="13" borderId="0" numFmtId="0" xfId="0" applyFill="1"/>
    <xf fontId="0" fillId="0" borderId="30" numFmtId="0" xfId="0" applyBorder="1"/>
    <xf fontId="0" fillId="0" borderId="31" numFmtId="0" xfId="0" applyBorder="1"/>
    <xf fontId="0" fillId="3" borderId="32" numFmtId="0" xfId="0" applyFill="1" applyBorder="1" applyProtection="1">
      <protection locked="0"/>
    </xf>
    <xf fontId="0" fillId="0" borderId="33" numFmtId="0" xfId="0" applyBorder="1"/>
    <xf fontId="0" fillId="0" borderId="34" numFmtId="0" xfId="0" applyBorder="1"/>
    <xf fontId="0" fillId="3" borderId="35" numFmtId="0" xfId="0" applyFill="1" applyBorder="1" applyProtection="1">
      <protection locked="0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trlProps/ctrlProp1.xml><?xml version="1.0" encoding="utf-8"?>
<formControlPr xmlns="http://schemas.microsoft.com/office/spreadsheetml/2009/9/main" objectType="CheckBox" checked="Checked" textVAlign="center" lockText="1" noThreeD="1"/>
</file>

<file path=xl/ctrlProps/ctrlProp2.xml><?xml version="1.0" encoding="utf-8"?>
<formControlPr xmlns="http://schemas.microsoft.com/office/spreadsheetml/2009/9/main" objectType="CheckBox" checked="Checked" textVAlign="center" lockText="1" noThreeD="1"/>
</file>

<file path=xl/ctrlProps/ctrlProp3.xml><?xml version="1.0" encoding="utf-8"?>
<formControlPr xmlns="http://schemas.microsoft.com/office/spreadsheetml/2009/9/main" objectType="CheckBox" checked="Checked" textVAlign="center" lockText="1" noThreeD="1"/>
</file>

<file path=xl/ctrlProps/ctrlProp4.xml><?xml version="1.0" encoding="utf-8"?>
<formControlPr xmlns="http://schemas.microsoft.com/office/spreadsheetml/2009/9/main" objectType="CheckBox" checked="Checked" textVAlign="center" lockText="1" noThreeD="1"/>
</file>

<file path=xl/ctrlProps/ctrlProp5.xml><?xml version="1.0" encoding="utf-8"?>
<formControlPr xmlns="http://schemas.microsoft.com/office/spreadsheetml/2009/9/main" objectType="CheckBox" checked="Checked" textVAlign="center" lockText="1" noThreeD="1"/>
</file>

<file path=xl/ctrlProps/ctrlProp6.xml><?xml version="1.0" encoding="utf-8"?>
<formControlPr xmlns="http://schemas.microsoft.com/office/spreadsheetml/2009/9/main" objectType="CheckBox" checked="Checked" textVAlign="center" lockText="1" noThreeD="1"/>
</file>

<file path=xl/ctrlProps/ctrlProp7.xml><?xml version="1.0" encoding="utf-8"?>
<formControlPr xmlns="http://schemas.microsoft.com/office/spreadsheetml/2009/9/main" objectType="CheckBox" checked="Checked" textVAlign="center" lockText="1" noThreeD="1"/>
</file>

<file path=xl/ctrlProps/ctrlProp8.xml><?xml version="1.0" encoding="utf-8"?>
<formControlPr xmlns="http://schemas.microsoft.com/office/spreadsheetml/2009/9/main" objectType="CheckBox" checked="Checked" textVAlign="center" lockText="1" noThreeD="1"/>
</file>

<file path=xl/ctrlProps/ctrlProp9.xml><?xml version="1.0" encoding="utf-8"?>
<formControlPr xmlns="http://schemas.microsoft.com/office/spreadsheetml/2009/9/main" objectType="CheckBox" checked="Checked" textVAlign="center" lockText="1" noThreeD="1"/>
</file>

<file path=xl/ctrlProps/ctrlProp10.xml><?xml version="1.0" encoding="utf-8"?>
<formControlPr xmlns="http://schemas.microsoft.com/office/spreadsheetml/2009/9/main" objectType="CheckBox" checked="Checked" textVAlign="center" lockText="1" noThreeD="1"/>
</file>

<file path=xl/ctrlProps/ctrlProp11.xml><?xml version="1.0" encoding="utf-8"?>
<formControlPr xmlns="http://schemas.microsoft.com/office/spreadsheetml/2009/9/main" objectType="CheckBox" checked="Checked" textVAlign="center" lockText="1" noThreeD="1"/>
</file>

<file path=xl/ctrlProps/ctrlProp12.xml><?xml version="1.0" encoding="utf-8"?>
<formControlPr xmlns="http://schemas.microsoft.com/office/spreadsheetml/2009/9/main" objectType="CheckBox" checked="Checked" textVAlign="center" lockText="1" noThreeD="1"/>
</file>

<file path=xl/ctrlProps/ctrlProp13.xml><?xml version="1.0" encoding="utf-8"?>
<formControlPr xmlns="http://schemas.microsoft.com/office/spreadsheetml/2009/9/main" objectType="CheckBox" checked="Checked" textVAlign="center" lockText="1" noThreeD="1"/>
</file>

<file path=xl/ctrlProps/ctrlProp14.xml><?xml version="1.0" encoding="utf-8"?>
<formControlPr xmlns="http://schemas.microsoft.com/office/spreadsheetml/2009/9/main" objectType="CheckBox" checked="Checked" textVAlign="center" lockText="1" noThreeD="1"/>
</file>

<file path=xl/ctrlProps/ctrlProp15.xml><?xml version="1.0" encoding="utf-8"?>
<formControlPr xmlns="http://schemas.microsoft.com/office/spreadsheetml/2009/9/main" objectType="CheckBox" checked="Checked" textVAlign="center" lockText="1" noThreeD="1"/>
</file>

<file path=xl/ctrlProps/ctrlProp16.xml><?xml version="1.0" encoding="utf-8"?>
<formControlPr xmlns="http://schemas.microsoft.com/office/spreadsheetml/2009/9/main" objectType="CheckBox" checked="Checked" textVAlign="center" lockText="1" noThreeD="1"/>
</file>

<file path=xl/ctrlProps/ctrlProp17.xml><?xml version="1.0" encoding="utf-8"?>
<formControlPr xmlns="http://schemas.microsoft.com/office/spreadsheetml/2009/9/main" objectType="CheckBox" checked="Checked" textVAlign="center" lockText="1" noThreeD="1"/>
</file>

<file path=xl/ctrlProps/ctrlProp18.xml><?xml version="1.0" encoding="utf-8"?>
<formControlPr xmlns="http://schemas.microsoft.com/office/spreadsheetml/2009/9/main" objectType="CheckBox" checked="Checked" textVAlign="center" lockText="1" noThreeD="1"/>
</file>

<file path=xl/ctrlProps/ctrlProp19.xml><?xml version="1.0" encoding="utf-8"?>
<formControlPr xmlns="http://schemas.microsoft.com/office/spreadsheetml/2009/9/main" objectType="CheckBox" checked="Checked" textVAlign="center" lockText="1" noThreeD="1"/>
</file>

<file path=xl/ctrlProps/ctrlProp20.xml><?xml version="1.0" encoding="utf-8"?>
<formControlPr xmlns="http://schemas.microsoft.com/office/spreadsheetml/2009/9/main" objectType="CheckBox" checked="Checked" textVAlign="center" lockText="1" noThreeD="1"/>
</file>

<file path=xl/ctrlProps/ctrlProp21.xml><?xml version="1.0" encoding="utf-8"?>
<formControlPr xmlns="http://schemas.microsoft.com/office/spreadsheetml/2009/9/main" objectType="CheckBox" checked="Checked" textVAlign="center" lockText="1" noThreeD="1"/>
</file>

<file path=xl/ctrlProps/ctrlProp22.xml><?xml version="1.0" encoding="utf-8"?>
<formControlPr xmlns="http://schemas.microsoft.com/office/spreadsheetml/2009/9/main" objectType="CheckBox" checked="Checked" textVAlign="center" lockText="1" noThreeD="1"/>
</file>

<file path=xl/ctrlProps/ctrlProp23.xml><?xml version="1.0" encoding="utf-8"?>
<formControlPr xmlns="http://schemas.microsoft.com/office/spreadsheetml/2009/9/main" objectType="CheckBox" checked="Checked" textVAlign="center" lockText="1" noThreeD="1"/>
</file>

<file path=xl/ctrlProps/ctrlProp24.xml><?xml version="1.0" encoding="utf-8"?>
<formControlPr xmlns="http://schemas.microsoft.com/office/spreadsheetml/2009/9/main" objectType="CheckBox" checked="Checked" textVAlign="center" lockText="1" noThreeD="1"/>
</file>

<file path=xl/ctrlProps/ctrlProp25.xml><?xml version="1.0" encoding="utf-8"?>
<formControlPr xmlns="http://schemas.microsoft.com/office/spreadsheetml/2009/9/main" objectType="CheckBox" checked="Checked" textVAlign="center" lockText="1" noThreeD="1"/>
</file>

<file path=xl/ctrlProps/ctrlProp26.xml><?xml version="1.0" encoding="utf-8"?>
<formControlPr xmlns="http://schemas.microsoft.com/office/spreadsheetml/2009/9/main" objectType="CheckBox" checked="Checked" textVAlign="center" lockText="1" noThreeD="1"/>
</file>

<file path=xl/ctrlProps/ctrlProp27.xml><?xml version="1.0" encoding="utf-8"?>
<formControlPr xmlns="http://schemas.microsoft.com/office/spreadsheetml/2009/9/main" objectType="CheckBox" checked="Checked" textVAlign="center" lockText="1" noThreeD="1"/>
</file>

<file path=xl/ctrlProps/ctrlProp28.xml><?xml version="1.0" encoding="utf-8"?>
<formControlPr xmlns="http://schemas.microsoft.com/office/spreadsheetml/2009/9/main" objectType="CheckBox" checked="Checked" textVAlign="center" lockText="1" noThreeD="1"/>
</file>

<file path=xl/ctrlProps/ctrlProp29.xml><?xml version="1.0" encoding="utf-8"?>
<formControlPr xmlns="http://schemas.microsoft.com/office/spreadsheetml/2009/9/main" objectType="CheckBox" checked="Checked" textVAlign="center" lockText="1" noThreeD="1"/>
</file>

<file path=xl/ctrlProps/ctrlProp30.xml><?xml version="1.0" encoding="utf-8"?>
<formControlPr xmlns="http://schemas.microsoft.com/office/spreadsheetml/2009/9/main" objectType="CheckBox" checked="Checked" textVAlign="center" lockText="1" noThreeD="1"/>
</file>

<file path=xl/ctrlProps/ctrlProp31.xml><?xml version="1.0" encoding="utf-8"?>
<formControlPr xmlns="http://schemas.microsoft.com/office/spreadsheetml/2009/9/main" objectType="CheckBox" checked="Checked" textVAlign="center" lockText="1" noThreeD="1"/>
</file>

<file path=xl/ctrlProps/ctrlProp32.xml><?xml version="1.0" encoding="utf-8"?>
<formControlPr xmlns="http://schemas.microsoft.com/office/spreadsheetml/2009/9/main" objectType="CheckBox" checked="Checked" textVAlign="center" lockText="1" noThreeD="1"/>
</file>

<file path=xl/ctrlProps/ctrlProp33.xml><?xml version="1.0" encoding="utf-8"?>
<formControlPr xmlns="http://schemas.microsoft.com/office/spreadsheetml/2009/9/main" objectType="CheckBox" checked="Checked" textVAlign="center" lockText="1" noThreeD="1"/>
</file>

<file path=xl/ctrlProps/ctrlProp34.xml><?xml version="1.0" encoding="utf-8"?>
<formControlPr xmlns="http://schemas.microsoft.com/office/spreadsheetml/2009/9/main" objectType="CheckBox" checked="Checked" textVAlign="center" lockText="1" noThreeD="1"/>
</file>

<file path=xl/ctrlProps/ctrlProp35.xml><?xml version="1.0" encoding="utf-8"?>
<formControlPr xmlns="http://schemas.microsoft.com/office/spreadsheetml/2009/9/main" objectType="CheckBox" checked="Checked" textVAlign="center" lockText="1" noThreeD="1"/>
</file>

<file path=xl/ctrlProps/ctrlProp36.xml><?xml version="1.0" encoding="utf-8"?>
<formControlPr xmlns="http://schemas.microsoft.com/office/spreadsheetml/2009/9/main" objectType="CheckBox" checked="Checked" textVAlign="center" lockText="1" noThreeD="1"/>
</file>

<file path=xl/ctrlProps/ctrlProp37.xml><?xml version="1.0" encoding="utf-8"?>
<formControlPr xmlns="http://schemas.microsoft.com/office/spreadsheetml/2009/9/main" objectType="CheckBox" checked="Checked" textVAlign="center" lockText="1" noThreeD="1"/>
</file>

<file path=xl/ctrlProps/ctrlProp38.xml><?xml version="1.0" encoding="utf-8"?>
<formControlPr xmlns="http://schemas.microsoft.com/office/spreadsheetml/2009/9/main" objectType="CheckBox" checked="Checked" textVAlign="center" lockText="1" noThreeD="1"/>
</file>

<file path=xl/ctrlProps/ctrlProp39.xml><?xml version="1.0" encoding="utf-8"?>
<formControlPr xmlns="http://schemas.microsoft.com/office/spreadsheetml/2009/9/main" objectType="CheckBox" checked="Checked" textVAlign="center" lockText="1" noThreeD="1"/>
</file>

<file path=xl/ctrlProps/ctrlProp40.xml><?xml version="1.0" encoding="utf-8"?>
<formControlPr xmlns="http://schemas.microsoft.com/office/spreadsheetml/2009/9/main" objectType="CheckBox" checked="Checked" textVAlign="center" lockText="1" noThreeD="1"/>
</file>

<file path=xl/ctrlProps/ctrlProp41.xml><?xml version="1.0" encoding="utf-8"?>
<formControlPr xmlns="http://schemas.microsoft.com/office/spreadsheetml/2009/9/main" objectType="CheckBox" textVAlign="center" lockText="1" noThreeD="1"/>
</file>

<file path=xl/ctrlProps/ctrlProp42.xml><?xml version="1.0" encoding="utf-8"?>
<formControlPr xmlns="http://schemas.microsoft.com/office/spreadsheetml/2009/9/main" objectType="CheckBox" checked="Checked" textVAlign="center" lockText="1" noThreeD="1"/>
</file>

<file path=xl/ctrlProps/ctrlProp43.xml><?xml version="1.0" encoding="utf-8"?>
<formControlPr xmlns="http://schemas.microsoft.com/office/spreadsheetml/2009/9/main" objectType="CheckBox" checked="Checked" textVAlign="center" lockText="1" noThreeD="1"/>
</file>

<file path=xl/ctrlProps/ctrlProp44.xml><?xml version="1.0" encoding="utf-8"?>
<formControlPr xmlns="http://schemas.microsoft.com/office/spreadsheetml/2009/9/main" objectType="CheckBox" checked="Checked" textVAlign="center" lockText="1" noThreeD="1"/>
</file>

<file path=xl/ctrlProps/ctrlProp45.xml><?xml version="1.0" encoding="utf-8"?>
<formControlPr xmlns="http://schemas.microsoft.com/office/spreadsheetml/2009/9/main" objectType="CheckBox" checked="Checked" textVAlign="center" lockText="1" noThreeD="1"/>
</file>

<file path=xl/ctrlProps/ctrlProp46.xml><?xml version="1.0" encoding="utf-8"?>
<formControlPr xmlns="http://schemas.microsoft.com/office/spreadsheetml/2009/9/main" objectType="CheckBox" checked="Checked" textVAlign="center" lockText="1" noThreeD="1"/>
</file>

<file path=xl/ctrlProps/ctrlProp47.xml><?xml version="1.0" encoding="utf-8"?>
<formControlPr xmlns="http://schemas.microsoft.com/office/spreadsheetml/2009/9/main" objectType="CheckBox" checked="Checked" textVAlign="center" lockText="1" noThreeD="1"/>
</file>

<file path=xl/ctrlProps/ctrlProp48.xml><?xml version="1.0" encoding="utf-8"?>
<formControlPr xmlns="http://schemas.microsoft.com/office/spreadsheetml/2009/9/main" objectType="CheckBox" checked="Checked" textVAlign="center" lockText="1" noThreeD="1"/>
</file>

<file path=xl/ctrlProps/ctrlProp49.xml><?xml version="1.0" encoding="utf-8"?>
<formControlPr xmlns="http://schemas.microsoft.com/office/spreadsheetml/2009/9/main" objectType="CheckBox" checked="Checked" textVAlign="center" lockText="1" noThreeD="1"/>
</file>

<file path=xl/ctrlProps/ctrlProp50.xml><?xml version="1.0" encoding="utf-8"?>
<formControlPr xmlns="http://schemas.microsoft.com/office/spreadsheetml/2009/9/main" objectType="CheckBox" checked="Checked" textVAlign="center" lockText="1" noThreeD="1"/>
</file>

<file path=xl/ctrlProps/ctrlProp51.xml><?xml version="1.0" encoding="utf-8"?>
<formControlPr xmlns="http://schemas.microsoft.com/office/spreadsheetml/2009/9/main" objectType="CheckBox" checked="Checked" textVAlign="center" lockText="1" noThreeD="1"/>
</file>

<file path=xl/ctrlProps/ctrlProp52.xml><?xml version="1.0" encoding="utf-8"?>
<formControlPr xmlns="http://schemas.microsoft.com/office/spreadsheetml/2009/9/main" objectType="CheckBox" checked="Checked" textVAlign="center" lockText="1" noThreeD="1"/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Relationship Id="rId3" Type="http://schemas.openxmlformats.org/officeDocument/2006/relationships/image" Target="../media/image2.png"/><Relationship Id="rId4" Type="http://schemas.openxmlformats.org/officeDocument/2006/relationships/image" Target="../media/media2.svg"/><Relationship Id="rId5" Type="http://schemas.openxmlformats.org/officeDocument/2006/relationships/image" Target="../media/image3.png"/><Relationship Id="rId6" Type="http://schemas.openxmlformats.org/officeDocument/2006/relationships/image" Target="../media/media3.sv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40161</xdr:colOff>
      <xdr:row>1</xdr:row>
      <xdr:rowOff>152036</xdr:rowOff>
    </xdr:from>
    <xdr:to>
      <xdr:col>4</xdr:col>
      <xdr:colOff>78262</xdr:colOff>
      <xdr:row>3</xdr:row>
      <xdr:rowOff>7732</xdr:rowOff>
    </xdr:to>
    <xdr:grpSp>
      <xdr:nvGrpSpPr>
        <xdr:cNvPr id="0" name=""/>
        <xdr:cNvGrpSpPr/>
      </xdr:nvGrpSpPr>
      <xdr:grpSpPr bwMode="auto">
        <a:xfrm>
          <a:off x="41686" y="583328"/>
          <a:ext cx="1088136" cy="445484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36415</xdr:colOff>
      <xdr:row>2</xdr:row>
      <xdr:rowOff>316928</xdr:rowOff>
    </xdr:from>
    <xdr:to>
      <xdr:col>4</xdr:col>
      <xdr:colOff>74514</xdr:colOff>
      <xdr:row>4</xdr:row>
      <xdr:rowOff>78935</xdr:rowOff>
    </xdr:to>
    <xdr:grpSp>
      <xdr:nvGrpSpPr>
        <xdr:cNvPr id="0" name=""/>
        <xdr:cNvGrpSpPr/>
      </xdr:nvGrpSpPr>
      <xdr:grpSpPr bwMode="auto">
        <a:xfrm>
          <a:off x="37939" y="934148"/>
          <a:ext cx="1088136" cy="441711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31229</xdr:colOff>
      <xdr:row>3</xdr:row>
      <xdr:rowOff>262328</xdr:rowOff>
    </xdr:from>
    <xdr:to>
      <xdr:col>4</xdr:col>
      <xdr:colOff>69329</xdr:colOff>
      <xdr:row>5</xdr:row>
      <xdr:rowOff>24336</xdr:rowOff>
    </xdr:to>
    <xdr:grpSp>
      <xdr:nvGrpSpPr>
        <xdr:cNvPr id="0" name=""/>
        <xdr:cNvGrpSpPr/>
      </xdr:nvGrpSpPr>
      <xdr:grpSpPr bwMode="auto">
        <a:xfrm>
          <a:off x="32753" y="1284932"/>
          <a:ext cx="1088136" cy="443236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39974</xdr:colOff>
      <xdr:row>4</xdr:row>
      <xdr:rowOff>321038</xdr:rowOff>
    </xdr:from>
    <xdr:to>
      <xdr:col>4</xdr:col>
      <xdr:colOff>78073</xdr:colOff>
      <xdr:row>6</xdr:row>
      <xdr:rowOff>83047</xdr:rowOff>
    </xdr:to>
    <xdr:grpSp>
      <xdr:nvGrpSpPr>
        <xdr:cNvPr id="0" name=""/>
        <xdr:cNvGrpSpPr/>
      </xdr:nvGrpSpPr>
      <xdr:grpSpPr bwMode="auto">
        <a:xfrm>
          <a:off x="41498" y="1621011"/>
          <a:ext cx="1088136" cy="441712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29981</xdr:colOff>
      <xdr:row>6</xdr:row>
      <xdr:rowOff>111175</xdr:rowOff>
    </xdr:from>
    <xdr:to>
      <xdr:col>4</xdr:col>
      <xdr:colOff>68080</xdr:colOff>
      <xdr:row>6</xdr:row>
      <xdr:rowOff>553988</xdr:rowOff>
    </xdr:to>
    <xdr:grpSp>
      <xdr:nvGrpSpPr>
        <xdr:cNvPr id="0" name=""/>
        <xdr:cNvGrpSpPr/>
      </xdr:nvGrpSpPr>
      <xdr:grpSpPr bwMode="auto">
        <a:xfrm>
          <a:off x="31505" y="2092377"/>
          <a:ext cx="1088136" cy="445859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38725</xdr:colOff>
      <xdr:row>7</xdr:row>
      <xdr:rowOff>32479</xdr:rowOff>
    </xdr:from>
    <xdr:to>
      <xdr:col>4</xdr:col>
      <xdr:colOff>76825</xdr:colOff>
      <xdr:row>7</xdr:row>
      <xdr:rowOff>475290</xdr:rowOff>
    </xdr:to>
    <xdr:grpSp>
      <xdr:nvGrpSpPr>
        <xdr:cNvPr id="0" name=""/>
        <xdr:cNvGrpSpPr/>
      </xdr:nvGrpSpPr>
      <xdr:grpSpPr bwMode="auto">
        <a:xfrm>
          <a:off x="40249" y="2679667"/>
          <a:ext cx="1088136" cy="447383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34977</xdr:colOff>
      <xdr:row>7</xdr:row>
      <xdr:rowOff>503420</xdr:rowOff>
    </xdr:from>
    <xdr:to>
      <xdr:col>4</xdr:col>
      <xdr:colOff>73078</xdr:colOff>
      <xdr:row>9</xdr:row>
      <xdr:rowOff>9345</xdr:rowOff>
    </xdr:to>
    <xdr:grpSp>
      <xdr:nvGrpSpPr>
        <xdr:cNvPr id="0" name=""/>
        <xdr:cNvGrpSpPr/>
      </xdr:nvGrpSpPr>
      <xdr:grpSpPr bwMode="auto">
        <a:xfrm>
          <a:off x="36502" y="3155180"/>
          <a:ext cx="1088136" cy="446233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37476</xdr:colOff>
      <xdr:row>8</xdr:row>
      <xdr:rowOff>312295</xdr:rowOff>
    </xdr:from>
    <xdr:to>
      <xdr:col>4</xdr:col>
      <xdr:colOff>75575</xdr:colOff>
      <xdr:row>10</xdr:row>
      <xdr:rowOff>74303</xdr:rowOff>
    </xdr:to>
    <xdr:grpSp>
      <xdr:nvGrpSpPr>
        <xdr:cNvPr id="0" name=""/>
        <xdr:cNvGrpSpPr/>
      </xdr:nvGrpSpPr>
      <xdr:grpSpPr bwMode="auto">
        <a:xfrm>
          <a:off x="39000" y="3500503"/>
          <a:ext cx="1088136" cy="441712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43722</xdr:colOff>
      <xdr:row>9</xdr:row>
      <xdr:rowOff>256082</xdr:rowOff>
    </xdr:from>
    <xdr:to>
      <xdr:col>4</xdr:col>
      <xdr:colOff>81822</xdr:colOff>
      <xdr:row>11</xdr:row>
      <xdr:rowOff>18089</xdr:rowOff>
    </xdr:to>
    <xdr:grpSp>
      <xdr:nvGrpSpPr>
        <xdr:cNvPr id="0" name=""/>
        <xdr:cNvGrpSpPr/>
      </xdr:nvGrpSpPr>
      <xdr:grpSpPr bwMode="auto">
        <a:xfrm>
          <a:off x="45246" y="3849674"/>
          <a:ext cx="1088136" cy="443236"/>
          <a:chOff x="0" y="243111"/>
          <a:chExt cx="948855" cy="441617"/>
        </a:xfrm>
      </xdr:grpSpPr>
    </xdr:grpSp>
    <xdr:clientData/>
  </xdr:twoCellAnchor>
  <xdr:twoCellAnchor editAs="twoCell">
    <xdr:from>
      <xdr:col>0</xdr:col>
      <xdr:colOff>31229</xdr:colOff>
      <xdr:row>10</xdr:row>
      <xdr:rowOff>393491</xdr:rowOff>
    </xdr:from>
    <xdr:to>
      <xdr:col>4</xdr:col>
      <xdr:colOff>69329</xdr:colOff>
      <xdr:row>12</xdr:row>
      <xdr:rowOff>24335</xdr:rowOff>
    </xdr:to>
    <xdr:grpSp>
      <xdr:nvGrpSpPr>
        <xdr:cNvPr id="0" name=""/>
        <xdr:cNvGrpSpPr/>
      </xdr:nvGrpSpPr>
      <xdr:grpSpPr bwMode="auto">
        <a:xfrm>
          <a:off x="32753" y="4264452"/>
          <a:ext cx="1088136" cy="441611"/>
          <a:chOff x="0" y="243111"/>
          <a:chExt cx="948855" cy="441617"/>
        </a:xfrm>
      </xdr:grpSpPr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29309</xdr:colOff>
      <xdr:row>6</xdr:row>
      <xdr:rowOff>0</xdr:rowOff>
    </xdr:from>
    <xdr:to>
      <xdr:col>1</xdr:col>
      <xdr:colOff>263770</xdr:colOff>
      <xdr:row>7</xdr:row>
      <xdr:rowOff>5860</xdr:rowOff>
    </xdr:to>
    <xdr:pic>
      <xdr:nvPicPr>
        <xdr:cNvPr id="3" name="Graphic 2" descr="Badge Unfollow with solid fill"/>
        <xdr:cNvPicPr>
          <a:picLocks noChangeAspect="1"/>
        </xdr:cNvPicPr>
      </xdr:nvPicPr>
      <xdr:blipFill rotWithShape="1"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1729155" y="1400908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7" name="Graphic 6" descr="Badge Follow with solid fill"/>
        <xdr:cNvPicPr>
          <a:picLocks noChangeAspect="1"/>
        </xdr:cNvPicPr>
      </xdr:nvPicPr>
      <xdr:blipFill rotWithShape="1"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1740878" y="1148861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23447</xdr:colOff>
      <xdr:row>6</xdr:row>
      <xdr:rowOff>228600</xdr:rowOff>
    </xdr:from>
    <xdr:to>
      <xdr:col>1</xdr:col>
      <xdr:colOff>263769</xdr:colOff>
      <xdr:row>8</xdr:row>
      <xdr:rowOff>11721</xdr:rowOff>
    </xdr:to>
    <xdr:pic>
      <xdr:nvPicPr>
        <xdr:cNvPr id="9" name="Graphic 8" descr="Badge Tick1 with solid fill"/>
        <xdr:cNvPicPr>
          <a:picLocks noChangeAspect="1"/>
        </xdr:cNvPicPr>
      </xdr:nvPicPr>
      <xdr:blipFill rotWithShape="1"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>
          <a:off x="1723293" y="1770185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7</xdr:row>
      <xdr:rowOff>216877</xdr:rowOff>
    </xdr:from>
    <xdr:to>
      <xdr:col>1</xdr:col>
      <xdr:colOff>269631</xdr:colOff>
      <xdr:row>8</xdr:row>
      <xdr:rowOff>222738</xdr:rowOff>
    </xdr:to>
    <xdr:pic>
      <xdr:nvPicPr>
        <xdr:cNvPr id="10" name="Graphic 9" descr="Badge Unfollow with solid fill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1735016" y="199292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9</xdr:row>
      <xdr:rowOff>1</xdr:rowOff>
    </xdr:from>
    <xdr:to>
      <xdr:col>1</xdr:col>
      <xdr:colOff>263769</xdr:colOff>
      <xdr:row>10</xdr:row>
      <xdr:rowOff>5862</xdr:rowOff>
    </xdr:to>
    <xdr:pic>
      <xdr:nvPicPr>
        <xdr:cNvPr id="11" name="Graphic 10" descr="Badge Unfollow with solid fill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2215662" y="218049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29309</xdr:colOff>
      <xdr:row>9</xdr:row>
      <xdr:rowOff>221719</xdr:rowOff>
    </xdr:from>
    <xdr:to>
      <xdr:col>1</xdr:col>
      <xdr:colOff>269631</xdr:colOff>
      <xdr:row>11</xdr:row>
      <xdr:rowOff>5670</xdr:rowOff>
    </xdr:to>
    <xdr:pic>
      <xdr:nvPicPr>
        <xdr:cNvPr id="12" name="Graphic 11" descr="Badge Tick1 with solid fill"/>
        <xdr:cNvPicPr>
          <a:picLocks noChangeAspect="1"/>
        </xdr:cNvPicPr>
      </xdr:nvPicPr>
      <xdr:blipFill rotWithShape="1">
        <a:blip r:embed="rId8"/>
        <a:stretch/>
      </xdr:blipFill>
      <xdr:spPr bwMode="auto">
        <a:xfrm>
          <a:off x="2215918" y="2395904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31029</xdr:colOff>
      <xdr:row>10</xdr:row>
      <xdr:rowOff>223821</xdr:rowOff>
    </xdr:from>
    <xdr:to>
      <xdr:col>1</xdr:col>
      <xdr:colOff>265490</xdr:colOff>
      <xdr:row>12</xdr:row>
      <xdr:rowOff>1910</xdr:rowOff>
    </xdr:to>
    <xdr:pic>
      <xdr:nvPicPr>
        <xdr:cNvPr id="13" name="Graphic 12" descr="Badge Unfollow with solid fill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2217638" y="2625778"/>
          <a:ext cx="234461" cy="2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36889</xdr:colOff>
      <xdr:row>11</xdr:row>
      <xdr:rowOff>222101</xdr:rowOff>
    </xdr:from>
    <xdr:to>
      <xdr:col>1</xdr:col>
      <xdr:colOff>277212</xdr:colOff>
      <xdr:row>13</xdr:row>
      <xdr:rowOff>6050</xdr:rowOff>
    </xdr:to>
    <xdr:pic>
      <xdr:nvPicPr>
        <xdr:cNvPr id="14" name="Graphic 13" descr="Badge Tick1 with solid fill"/>
        <xdr:cNvPicPr>
          <a:picLocks noChangeAspect="1"/>
        </xdr:cNvPicPr>
      </xdr:nvPicPr>
      <xdr:blipFill rotWithShape="1">
        <a:blip r:embed="rId8"/>
        <a:stretch/>
      </xdr:blipFill>
      <xdr:spPr bwMode="auto">
        <a:xfrm>
          <a:off x="2223499" y="2851829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12</xdr:row>
      <xdr:rowOff>226240</xdr:rowOff>
    </xdr:from>
    <xdr:to>
      <xdr:col>1</xdr:col>
      <xdr:colOff>269631</xdr:colOff>
      <xdr:row>14</xdr:row>
      <xdr:rowOff>4330</xdr:rowOff>
    </xdr:to>
    <xdr:pic>
      <xdr:nvPicPr>
        <xdr:cNvPr id="15" name="Graphic 14" descr="Badge Unfollow with solid fill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2221779" y="3083741"/>
          <a:ext cx="234461" cy="233633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13</xdr:row>
      <xdr:rowOff>226240</xdr:rowOff>
    </xdr:from>
    <xdr:to>
      <xdr:col>1</xdr:col>
      <xdr:colOff>275492</xdr:colOff>
      <xdr:row>15</xdr:row>
      <xdr:rowOff>10192</xdr:rowOff>
    </xdr:to>
    <xdr:pic>
      <xdr:nvPicPr>
        <xdr:cNvPr id="16" name="Graphic 15" descr="Badge Tick1 with solid fill"/>
        <xdr:cNvPicPr>
          <a:picLocks noChangeAspect="1"/>
        </xdr:cNvPicPr>
      </xdr:nvPicPr>
      <xdr:blipFill rotWithShape="1">
        <a:blip r:embed="rId8"/>
        <a:stretch/>
      </xdr:blipFill>
      <xdr:spPr bwMode="auto">
        <a:xfrm>
          <a:off x="2221779" y="3311514"/>
          <a:ext cx="240322" cy="2394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41030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3" name="Graphic 2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27972" y="1288366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38686</xdr:colOff>
      <xdr:row>8</xdr:row>
      <xdr:rowOff>220978</xdr:rowOff>
    </xdr:from>
    <xdr:to>
      <xdr:col>1</xdr:col>
      <xdr:colOff>279009</xdr:colOff>
      <xdr:row>10</xdr:row>
      <xdr:rowOff>4102</xdr:rowOff>
    </xdr:to>
    <xdr:pic>
      <xdr:nvPicPr>
        <xdr:cNvPr id="4" name="Graphic 3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25627" y="2171700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36889</xdr:colOff>
      <xdr:row>18</xdr:row>
      <xdr:rowOff>1121</xdr:rowOff>
    </xdr:from>
    <xdr:to>
      <xdr:col>1</xdr:col>
      <xdr:colOff>277212</xdr:colOff>
      <xdr:row>19</xdr:row>
      <xdr:rowOff>13671</xdr:rowOff>
    </xdr:to>
    <xdr:pic>
      <xdr:nvPicPr>
        <xdr:cNvPr id="9" name="Graphic 8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23830" y="4009240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18</xdr:row>
      <xdr:rowOff>226240</xdr:rowOff>
    </xdr:from>
    <xdr:to>
      <xdr:col>1</xdr:col>
      <xdr:colOff>275492</xdr:colOff>
      <xdr:row>20</xdr:row>
      <xdr:rowOff>10192</xdr:rowOff>
    </xdr:to>
    <xdr:pic>
      <xdr:nvPicPr>
        <xdr:cNvPr id="11" name="Graphic 10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22110" y="3319962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6</xdr:row>
      <xdr:rowOff>8206</xdr:rowOff>
    </xdr:from>
    <xdr:to>
      <xdr:col>1</xdr:col>
      <xdr:colOff>263770</xdr:colOff>
      <xdr:row>7</xdr:row>
      <xdr:rowOff>2344</xdr:rowOff>
    </xdr:to>
    <xdr:pic>
      <xdr:nvPicPr>
        <xdr:cNvPr id="12" name="Graphic 11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27972" y="1501726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7</xdr:row>
      <xdr:rowOff>8206</xdr:rowOff>
    </xdr:from>
    <xdr:to>
      <xdr:col>1</xdr:col>
      <xdr:colOff>263770</xdr:colOff>
      <xdr:row>8</xdr:row>
      <xdr:rowOff>2344</xdr:rowOff>
    </xdr:to>
    <xdr:pic>
      <xdr:nvPicPr>
        <xdr:cNvPr id="13" name="Graphic 12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27972" y="1730326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48652</xdr:colOff>
      <xdr:row>8</xdr:row>
      <xdr:rowOff>586</xdr:rowOff>
    </xdr:from>
    <xdr:to>
      <xdr:col>1</xdr:col>
      <xdr:colOff>271390</xdr:colOff>
      <xdr:row>8</xdr:row>
      <xdr:rowOff>223322</xdr:rowOff>
    </xdr:to>
    <xdr:pic>
      <xdr:nvPicPr>
        <xdr:cNvPr id="14" name="Graphic 13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35592" y="1951306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0</xdr:rowOff>
    </xdr:from>
    <xdr:to>
      <xdr:col>1</xdr:col>
      <xdr:colOff>268458</xdr:colOff>
      <xdr:row>13</xdr:row>
      <xdr:rowOff>222738</xdr:rowOff>
    </xdr:to>
    <xdr:pic>
      <xdr:nvPicPr>
        <xdr:cNvPr id="15" name="Graphic 14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32660" y="3093720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14</xdr:row>
      <xdr:rowOff>7620</xdr:rowOff>
    </xdr:from>
    <xdr:to>
      <xdr:col>1</xdr:col>
      <xdr:colOff>268458</xdr:colOff>
      <xdr:row>15</xdr:row>
      <xdr:rowOff>1758</xdr:rowOff>
    </xdr:to>
    <xdr:pic>
      <xdr:nvPicPr>
        <xdr:cNvPr id="16" name="Graphic 15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32660" y="3329940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16</xdr:row>
      <xdr:rowOff>0</xdr:rowOff>
    </xdr:from>
    <xdr:to>
      <xdr:col>1</xdr:col>
      <xdr:colOff>276078</xdr:colOff>
      <xdr:row>16</xdr:row>
      <xdr:rowOff>222738</xdr:rowOff>
    </xdr:to>
    <xdr:pic>
      <xdr:nvPicPr>
        <xdr:cNvPr id="17" name="Graphic 16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40280" y="3550920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15240</xdr:rowOff>
    </xdr:from>
    <xdr:to>
      <xdr:col>1</xdr:col>
      <xdr:colOff>260838</xdr:colOff>
      <xdr:row>18</xdr:row>
      <xdr:rowOff>9378</xdr:rowOff>
    </xdr:to>
    <xdr:pic>
      <xdr:nvPicPr>
        <xdr:cNvPr id="18" name="Graphic 17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25040" y="3794760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15</xdr:row>
      <xdr:rowOff>0</xdr:rowOff>
    </xdr:from>
    <xdr:to>
      <xdr:col>1</xdr:col>
      <xdr:colOff>268458</xdr:colOff>
      <xdr:row>15</xdr:row>
      <xdr:rowOff>222738</xdr:rowOff>
    </xdr:to>
    <xdr:pic>
      <xdr:nvPicPr>
        <xdr:cNvPr id="19" name="Graphic 18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32660" y="3550920"/>
          <a:ext cx="222737" cy="222737"/>
        </a:xfrm>
        <a:prstGeom prst="rect">
          <a:avLst/>
        </a:prstGeom>
      </xdr:spPr>
    </xdr:pic>
    <xdr:clientData/>
  </xdr:twoCellAnchor>
  <xdr:oneCellAnchor>
    <xdr:from>
      <xdr:col>1</xdr:col>
      <xdr:colOff>77030</xdr:colOff>
      <xdr:row>22</xdr:row>
      <xdr:rowOff>170240</xdr:rowOff>
    </xdr:from>
    <xdr:ext cx="222738" cy="222738"/>
    <xdr:pic>
      <xdr:nvPicPr>
        <xdr:cNvPr id="20" name="Graphic 19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63970" y="5237541"/>
          <a:ext cx="222737" cy="222737"/>
        </a:xfrm>
        <a:prstGeom prst="rect">
          <a:avLst/>
        </a:prstGeom>
      </xdr:spPr>
    </xdr:pic>
    <xdr:clientData/>
  </xdr:oneCellAnchor>
  <xdr:oneCellAnchor>
    <xdr:from>
      <xdr:col>1</xdr:col>
      <xdr:colOff>38686</xdr:colOff>
      <xdr:row>25</xdr:row>
      <xdr:rowOff>175260</xdr:rowOff>
    </xdr:from>
    <xdr:ext cx="240322" cy="240322"/>
    <xdr:pic>
      <xdr:nvPicPr>
        <xdr:cNvPr id="21" name="Graphic 20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25627" y="5829300"/>
          <a:ext cx="240322" cy="240322"/>
        </a:xfrm>
        <a:prstGeom prst="rect">
          <a:avLst/>
        </a:prstGeom>
      </xdr:spPr>
    </xdr:pic>
    <xdr:clientData/>
  </xdr:oneCellAnchor>
  <xdr:oneCellAnchor>
    <xdr:from>
      <xdr:col>1</xdr:col>
      <xdr:colOff>50027</xdr:colOff>
      <xdr:row>31</xdr:row>
      <xdr:rowOff>214411</xdr:rowOff>
    </xdr:from>
    <xdr:ext cx="240322" cy="241150"/>
    <xdr:pic>
      <xdr:nvPicPr>
        <xdr:cNvPr id="22" name="Graphic 21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36968" y="7102891"/>
          <a:ext cx="240322" cy="241150"/>
        </a:xfrm>
        <a:prstGeom prst="rect">
          <a:avLst/>
        </a:prstGeom>
      </xdr:spPr>
    </xdr:pic>
    <xdr:clientData/>
  </xdr:oneCellAnchor>
  <xdr:oneCellAnchor>
    <xdr:from>
      <xdr:col>1</xdr:col>
      <xdr:colOff>67308</xdr:colOff>
      <xdr:row>23</xdr:row>
      <xdr:rowOff>187758</xdr:rowOff>
    </xdr:from>
    <xdr:ext cx="222738" cy="222738"/>
    <xdr:pic>
      <xdr:nvPicPr>
        <xdr:cNvPr id="24" name="Graphic 23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52584" y="5438551"/>
          <a:ext cx="222737" cy="222737"/>
        </a:xfrm>
        <a:prstGeom prst="rect">
          <a:avLst/>
        </a:prstGeom>
      </xdr:spPr>
    </xdr:pic>
    <xdr:clientData/>
  </xdr:oneCellAnchor>
  <xdr:oneCellAnchor>
    <xdr:from>
      <xdr:col>1</xdr:col>
      <xdr:colOff>63892</xdr:colOff>
      <xdr:row>24</xdr:row>
      <xdr:rowOff>183466</xdr:rowOff>
    </xdr:from>
    <xdr:ext cx="222738" cy="222738"/>
    <xdr:pic>
      <xdr:nvPicPr>
        <xdr:cNvPr id="25" name="Graphic 24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50832" y="5639386"/>
          <a:ext cx="222737" cy="222737"/>
        </a:xfrm>
        <a:prstGeom prst="rect">
          <a:avLst/>
        </a:prstGeom>
      </xdr:spPr>
    </xdr:pic>
    <xdr:clientData/>
  </xdr:oneCellAnchor>
  <xdr:oneCellAnchor>
    <xdr:from>
      <xdr:col>1</xdr:col>
      <xdr:colOff>54478</xdr:colOff>
      <xdr:row>28</xdr:row>
      <xdr:rowOff>179551</xdr:rowOff>
    </xdr:from>
    <xdr:ext cx="222738" cy="222738"/>
    <xdr:pic>
      <xdr:nvPicPr>
        <xdr:cNvPr id="27" name="Graphic 26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39754" y="6402552"/>
          <a:ext cx="222737" cy="222737"/>
        </a:xfrm>
        <a:prstGeom prst="rect">
          <a:avLst/>
        </a:prstGeom>
      </xdr:spPr>
    </xdr:pic>
    <xdr:clientData/>
  </xdr:oneCellAnchor>
  <xdr:oneCellAnchor>
    <xdr:from>
      <xdr:col>1</xdr:col>
      <xdr:colOff>58858</xdr:colOff>
      <xdr:row>29</xdr:row>
      <xdr:rowOff>178413</xdr:rowOff>
    </xdr:from>
    <xdr:ext cx="222738" cy="222738"/>
    <xdr:pic>
      <xdr:nvPicPr>
        <xdr:cNvPr id="28" name="Graphic 27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44134" y="6594103"/>
          <a:ext cx="222737" cy="222737"/>
        </a:xfrm>
        <a:prstGeom prst="rect">
          <a:avLst/>
        </a:prstGeom>
      </xdr:spPr>
    </xdr:pic>
    <xdr:clientData/>
  </xdr:oneCellAnchor>
  <xdr:twoCellAnchor editAs="oneCell">
    <xdr:from>
      <xdr:col>1</xdr:col>
      <xdr:colOff>253738</xdr:colOff>
      <xdr:row>24</xdr:row>
      <xdr:rowOff>176343</xdr:rowOff>
    </xdr:from>
    <xdr:to>
      <xdr:col>1</xdr:col>
      <xdr:colOff>484965</xdr:colOff>
      <xdr:row>26</xdr:row>
      <xdr:rowOff>20789</xdr:rowOff>
    </xdr:to>
    <xdr:pic>
      <xdr:nvPicPr>
        <xdr:cNvPr id="32" name="Graphic 31" descr="Badge Unfollow with solid fill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2440678" y="5632265"/>
          <a:ext cx="231227" cy="233064"/>
        </a:xfrm>
        <a:prstGeom prst="rect">
          <a:avLst/>
        </a:prstGeom>
      </xdr:spPr>
    </xdr:pic>
    <xdr:clientData/>
  </xdr:twoCellAnchor>
  <xdr:oneCellAnchor>
    <xdr:from>
      <xdr:col>1</xdr:col>
      <xdr:colOff>49811</xdr:colOff>
      <xdr:row>30</xdr:row>
      <xdr:rowOff>213623</xdr:rowOff>
    </xdr:from>
    <xdr:ext cx="240322" cy="240322"/>
    <xdr:pic>
      <xdr:nvPicPr>
        <xdr:cNvPr id="33" name="Graphic 32" descr="Badge Tick1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236751" y="6881123"/>
          <a:ext cx="240322" cy="24032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91440</xdr:colOff>
      <xdr:row>8</xdr:row>
      <xdr:rowOff>167640</xdr:rowOff>
    </xdr:from>
    <xdr:to>
      <xdr:col>2</xdr:col>
      <xdr:colOff>325901</xdr:colOff>
      <xdr:row>10</xdr:row>
      <xdr:rowOff>21101</xdr:rowOff>
    </xdr:to>
    <xdr:pic>
      <xdr:nvPicPr>
        <xdr:cNvPr id="2" name="Graphic 1" descr="Badge Un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402080" y="1074420"/>
          <a:ext cx="234461" cy="234461"/>
        </a:xfrm>
        <a:prstGeom prst="rect">
          <a:avLst/>
        </a:prstGeom>
      </xdr:spPr>
    </xdr:pic>
    <xdr:clientData/>
  </xdr:twoCellAnchor>
  <xdr:twoCellAnchor editAs="twoCell">
    <xdr:from>
      <xdr:col>2</xdr:col>
      <xdr:colOff>274320</xdr:colOff>
      <xdr:row>7</xdr:row>
      <xdr:rowOff>53340</xdr:rowOff>
    </xdr:from>
    <xdr:to>
      <xdr:col>2</xdr:col>
      <xdr:colOff>487680</xdr:colOff>
      <xdr:row>11</xdr:row>
      <xdr:rowOff>144780</xdr:rowOff>
    </xdr:to>
    <xdr:sp>
      <xdr:nvSpPr>
        <xdr:cNvPr id="3" name="Right Brace 2"/>
        <xdr:cNvSpPr/>
      </xdr:nvSpPr>
      <xdr:spPr bwMode="auto">
        <a:xfrm>
          <a:off x="1584960" y="769620"/>
          <a:ext cx="213360" cy="853440"/>
        </a:xfrm>
        <a:prstGeom prst="rightBrace">
          <a:avLst>
            <a:gd name="adj1" fmla="val 8333"/>
            <a:gd name="adj2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twoCellAnchor editAs="oneCell">
    <xdr:from>
      <xdr:col>5</xdr:col>
      <xdr:colOff>160020</xdr:colOff>
      <xdr:row>10</xdr:row>
      <xdr:rowOff>167640</xdr:rowOff>
    </xdr:from>
    <xdr:to>
      <xdr:col>5</xdr:col>
      <xdr:colOff>394481</xdr:colOff>
      <xdr:row>12</xdr:row>
      <xdr:rowOff>21101</xdr:rowOff>
    </xdr:to>
    <xdr:pic>
      <xdr:nvPicPr>
        <xdr:cNvPr id="4" name="Graphic 3" descr="Badge Un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4091940" y="1455420"/>
          <a:ext cx="234461" cy="234461"/>
        </a:xfrm>
        <a:prstGeom prst="rect">
          <a:avLst/>
        </a:prstGeom>
      </xdr:spPr>
    </xdr:pic>
    <xdr:clientData/>
  </xdr:twoCellAnchor>
  <xdr:twoCellAnchor editAs="twoCell">
    <xdr:from>
      <xdr:col>5</xdr:col>
      <xdr:colOff>350520</xdr:colOff>
      <xdr:row>9</xdr:row>
      <xdr:rowOff>53340</xdr:rowOff>
    </xdr:from>
    <xdr:to>
      <xdr:col>5</xdr:col>
      <xdr:colOff>563880</xdr:colOff>
      <xdr:row>13</xdr:row>
      <xdr:rowOff>144780</xdr:rowOff>
    </xdr:to>
    <xdr:sp>
      <xdr:nvSpPr>
        <xdr:cNvPr id="5" name="Right Brace 4"/>
        <xdr:cNvSpPr/>
      </xdr:nvSpPr>
      <xdr:spPr bwMode="auto">
        <a:xfrm>
          <a:off x="4282440" y="1150620"/>
          <a:ext cx="213360" cy="853440"/>
        </a:xfrm>
        <a:prstGeom prst="rightBrace">
          <a:avLst>
            <a:gd name="adj1" fmla="val 8333"/>
            <a:gd name="adj2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twoCellAnchor editAs="twoCell">
    <xdr:from>
      <xdr:col>2</xdr:col>
      <xdr:colOff>320040</xdr:colOff>
      <xdr:row>18</xdr:row>
      <xdr:rowOff>38100</xdr:rowOff>
    </xdr:from>
    <xdr:to>
      <xdr:col>2</xdr:col>
      <xdr:colOff>487680</xdr:colOff>
      <xdr:row>31</xdr:row>
      <xdr:rowOff>53340</xdr:rowOff>
    </xdr:to>
    <xdr:sp>
      <xdr:nvSpPr>
        <xdr:cNvPr id="6" name="Right Brace 5"/>
        <xdr:cNvSpPr/>
      </xdr:nvSpPr>
      <xdr:spPr bwMode="auto">
        <a:xfrm>
          <a:off x="1630680" y="2827020"/>
          <a:ext cx="167640" cy="2438400"/>
        </a:xfrm>
        <a:prstGeom prst="rightBrace">
          <a:avLst>
            <a:gd name="adj1" fmla="val 8333"/>
            <a:gd name="adj2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twoCellAnchor editAs="oneCell">
    <xdr:from>
      <xdr:col>2</xdr:col>
      <xdr:colOff>129538</xdr:colOff>
      <xdr:row>24</xdr:row>
      <xdr:rowOff>0</xdr:rowOff>
    </xdr:from>
    <xdr:to>
      <xdr:col>2</xdr:col>
      <xdr:colOff>352278</xdr:colOff>
      <xdr:row>25</xdr:row>
      <xdr:rowOff>32237</xdr:rowOff>
    </xdr:to>
    <xdr:pic>
      <xdr:nvPicPr>
        <xdr:cNvPr id="7" name="Graphic 6" descr="Badge 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440180" y="3909060"/>
          <a:ext cx="222737" cy="222737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10</xdr:row>
      <xdr:rowOff>99060</xdr:rowOff>
    </xdr:from>
    <xdr:to>
      <xdr:col>8</xdr:col>
      <xdr:colOff>318279</xdr:colOff>
      <xdr:row>11</xdr:row>
      <xdr:rowOff>143021</xdr:rowOff>
    </xdr:to>
    <xdr:pic>
      <xdr:nvPicPr>
        <xdr:cNvPr id="8" name="Graphic 7" descr="Badge Un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6835140" y="1386840"/>
          <a:ext cx="234461" cy="2344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210868</xdr:colOff>
      <xdr:row>5</xdr:row>
      <xdr:rowOff>210576</xdr:rowOff>
    </xdr:from>
    <xdr:to>
      <xdr:col>1</xdr:col>
      <xdr:colOff>435511</xdr:colOff>
      <xdr:row>7</xdr:row>
      <xdr:rowOff>2589</xdr:rowOff>
    </xdr:to>
    <xdr:pic>
      <xdr:nvPicPr>
        <xdr:cNvPr id="2" name="Graphic 1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19003" y="774749"/>
          <a:ext cx="217023" cy="20705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8</xdr:row>
      <xdr:rowOff>0</xdr:rowOff>
    </xdr:from>
    <xdr:to>
      <xdr:col>1</xdr:col>
      <xdr:colOff>437122</xdr:colOff>
      <xdr:row>9</xdr:row>
      <xdr:rowOff>2198</xdr:rowOff>
    </xdr:to>
    <xdr:pic>
      <xdr:nvPicPr>
        <xdr:cNvPr id="3" name="Graphic 2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20615" y="1201615"/>
          <a:ext cx="22083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217902</xdr:colOff>
      <xdr:row>10</xdr:row>
      <xdr:rowOff>7327</xdr:rowOff>
    </xdr:from>
    <xdr:to>
      <xdr:col>1</xdr:col>
      <xdr:colOff>436829</xdr:colOff>
      <xdr:row>11</xdr:row>
      <xdr:rowOff>19050</xdr:rowOff>
    </xdr:to>
    <xdr:pic>
      <xdr:nvPicPr>
        <xdr:cNvPr id="4" name="Graphic 3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26037" y="1633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11</xdr:row>
      <xdr:rowOff>7327</xdr:rowOff>
    </xdr:from>
    <xdr:to>
      <xdr:col>1</xdr:col>
      <xdr:colOff>440933</xdr:colOff>
      <xdr:row>12</xdr:row>
      <xdr:rowOff>19051</xdr:rowOff>
    </xdr:to>
    <xdr:pic>
      <xdr:nvPicPr>
        <xdr:cNvPr id="5" name="Graphic 4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20615" y="1846385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205154</xdr:colOff>
      <xdr:row>15</xdr:row>
      <xdr:rowOff>0</xdr:rowOff>
    </xdr:from>
    <xdr:to>
      <xdr:col>1</xdr:col>
      <xdr:colOff>441227</xdr:colOff>
      <xdr:row>16</xdr:row>
      <xdr:rowOff>2198</xdr:rowOff>
    </xdr:to>
    <xdr:pic>
      <xdr:nvPicPr>
        <xdr:cNvPr id="6" name="Graphic 5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13289" y="2688981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205153</xdr:colOff>
      <xdr:row>17</xdr:row>
      <xdr:rowOff>7327</xdr:rowOff>
    </xdr:from>
    <xdr:to>
      <xdr:col>1</xdr:col>
      <xdr:colOff>441226</xdr:colOff>
      <xdr:row>18</xdr:row>
      <xdr:rowOff>19050</xdr:rowOff>
    </xdr:to>
    <xdr:pic>
      <xdr:nvPicPr>
        <xdr:cNvPr id="7" name="Graphic 6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13288" y="3121269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19</xdr:row>
      <xdr:rowOff>0</xdr:rowOff>
    </xdr:from>
    <xdr:to>
      <xdr:col>1</xdr:col>
      <xdr:colOff>440933</xdr:colOff>
      <xdr:row>20</xdr:row>
      <xdr:rowOff>2198</xdr:rowOff>
    </xdr:to>
    <xdr:pic>
      <xdr:nvPicPr>
        <xdr:cNvPr id="8" name="Graphic 7" descr="Badge Follow with solid fill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20616" y="3538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438295</xdr:colOff>
      <xdr:row>8</xdr:row>
      <xdr:rowOff>16558</xdr:rowOff>
    </xdr:to>
    <xdr:pic>
      <xdr:nvPicPr>
        <xdr:cNvPr id="9" name="Graphic 8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98635" y="981808"/>
          <a:ext cx="238271" cy="2325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434486</xdr:colOff>
      <xdr:row>8</xdr:row>
      <xdr:rowOff>16558</xdr:rowOff>
    </xdr:to>
    <xdr:pic>
      <xdr:nvPicPr>
        <xdr:cNvPr id="10" name="Graphic 9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98635" y="981808"/>
          <a:ext cx="236366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9</xdr:row>
      <xdr:rowOff>0</xdr:rowOff>
    </xdr:from>
    <xdr:to>
      <xdr:col>1</xdr:col>
      <xdr:colOff>441812</xdr:colOff>
      <xdr:row>10</xdr:row>
      <xdr:rowOff>20075</xdr:rowOff>
    </xdr:to>
    <xdr:pic>
      <xdr:nvPicPr>
        <xdr:cNvPr id="11" name="Graphic 10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05961" y="1414096"/>
          <a:ext cx="240176" cy="2287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11</xdr:row>
      <xdr:rowOff>201343</xdr:rowOff>
    </xdr:from>
    <xdr:to>
      <xdr:col>1</xdr:col>
      <xdr:colOff>439908</xdr:colOff>
      <xdr:row>13</xdr:row>
      <xdr:rowOff>16558</xdr:rowOff>
    </xdr:to>
    <xdr:pic>
      <xdr:nvPicPr>
        <xdr:cNvPr id="12" name="Graphic 11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05962" y="2040401"/>
          <a:ext cx="245891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14</xdr:row>
      <xdr:rowOff>0</xdr:rowOff>
    </xdr:from>
    <xdr:to>
      <xdr:col>1</xdr:col>
      <xdr:colOff>439908</xdr:colOff>
      <xdr:row>15</xdr:row>
      <xdr:rowOff>20075</xdr:rowOff>
    </xdr:to>
    <xdr:pic>
      <xdr:nvPicPr>
        <xdr:cNvPr id="13" name="Graphic 12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05962" y="2476500"/>
          <a:ext cx="245891" cy="2287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18</xdr:row>
      <xdr:rowOff>0</xdr:rowOff>
    </xdr:from>
    <xdr:to>
      <xdr:col>1</xdr:col>
      <xdr:colOff>439908</xdr:colOff>
      <xdr:row>19</xdr:row>
      <xdr:rowOff>20075</xdr:rowOff>
    </xdr:to>
    <xdr:pic>
      <xdr:nvPicPr>
        <xdr:cNvPr id="14" name="Graphic 13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05962" y="3326423"/>
          <a:ext cx="245891" cy="2287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19</xdr:row>
      <xdr:rowOff>205154</xdr:rowOff>
    </xdr:from>
    <xdr:to>
      <xdr:col>1</xdr:col>
      <xdr:colOff>439908</xdr:colOff>
      <xdr:row>21</xdr:row>
      <xdr:rowOff>16558</xdr:rowOff>
    </xdr:to>
    <xdr:pic>
      <xdr:nvPicPr>
        <xdr:cNvPr id="15" name="Graphic 14" descr="Badge Unfollow with solid fill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05962" y="3744058"/>
          <a:ext cx="245891" cy="228745"/>
        </a:xfrm>
        <a:prstGeom prst="rect">
          <a:avLst/>
        </a:prstGeom>
      </xdr:spPr>
    </xdr:pic>
    <xdr:clientData/>
  </xdr:twoCellAnchor>
  <xdr:twoCellAnchor editAs="oneCell">
    <xdr:from>
      <xdr:col>1</xdr:col>
      <xdr:colOff>199732</xdr:colOff>
      <xdr:row>12</xdr:row>
      <xdr:rowOff>194311</xdr:rowOff>
    </xdr:from>
    <xdr:to>
      <xdr:col>1</xdr:col>
      <xdr:colOff>441959</xdr:colOff>
      <xdr:row>14</xdr:row>
      <xdr:rowOff>16215</xdr:rowOff>
    </xdr:to>
    <xdr:pic>
      <xdr:nvPicPr>
        <xdr:cNvPr id="16" name="Graphic 15" descr="Badge Tick1 with solid fill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807867" y="2245849"/>
          <a:ext cx="23841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15</xdr:row>
      <xdr:rowOff>197827</xdr:rowOff>
    </xdr:from>
    <xdr:to>
      <xdr:col>1</xdr:col>
      <xdr:colOff>440054</xdr:colOff>
      <xdr:row>17</xdr:row>
      <xdr:rowOff>19732</xdr:rowOff>
    </xdr:to>
    <xdr:pic>
      <xdr:nvPicPr>
        <xdr:cNvPr id="17" name="Graphic 16" descr="Badge Tick1 with solid fill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805962" y="2886808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20</xdr:row>
      <xdr:rowOff>205154</xdr:rowOff>
    </xdr:from>
    <xdr:to>
      <xdr:col>1</xdr:col>
      <xdr:colOff>440054</xdr:colOff>
      <xdr:row>22</xdr:row>
      <xdr:rowOff>19439</xdr:rowOff>
    </xdr:to>
    <xdr:pic>
      <xdr:nvPicPr>
        <xdr:cNvPr id="18" name="Graphic 17" descr="Badge Tick1 with solid fill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805962" y="3956539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197828</xdr:rowOff>
    </xdr:from>
    <xdr:to>
      <xdr:col>1</xdr:col>
      <xdr:colOff>440347</xdr:colOff>
      <xdr:row>23</xdr:row>
      <xdr:rowOff>17825</xdr:rowOff>
    </xdr:to>
    <xdr:pic>
      <xdr:nvPicPr>
        <xdr:cNvPr id="19" name="Graphic 18" descr="Badge Tick1 with solid fill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798635" y="4161693"/>
          <a:ext cx="246037" cy="2411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C42BB076-0225-DD74-5755-849C411771EE}" userId="S::P20016@fhooe.at::6a077e09-2621-4617-a214-6a0ae6f4ad8b" providerId="AD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1-02T13:34:05.84Z" personId="{C42BB076-0225-DD74-5755-849C411771EE}" id="{D08A6A90-0787-423E-9B89-D55E286F446D}" done="0">
    <text xml:space="preserve">Die durchgeführten Schritte hier abhaken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10" Type="http://schemas.openxmlformats.org/officeDocument/2006/relationships/ctrlProp" Target="../ctrlProps/ctrlProp8.xml"/><Relationship  Id="rId11" Type="http://schemas.openxmlformats.org/officeDocument/2006/relationships/ctrlProp" Target="../ctrlProps/ctrlProp9.xml"/><Relationship  Id="rId12" Type="http://schemas.openxmlformats.org/officeDocument/2006/relationships/ctrlProp" Target="../ctrlProps/ctrlProp10.xml"/><Relationship  Id="rId13" Type="http://schemas.openxmlformats.org/officeDocument/2006/relationships/ctrlProp" Target="../ctrlProps/ctrlProp11.xml"/><Relationship  Id="rId14" Type="http://schemas.openxmlformats.org/officeDocument/2006/relationships/ctrlProp" Target="../ctrlProps/ctrlProp12.xml"/><Relationship  Id="rId15" Type="http://schemas.openxmlformats.org/officeDocument/2006/relationships/ctrlProp" Target="../ctrlProps/ctrlProp13.xml"/><Relationship  Id="rId16" Type="http://schemas.openxmlformats.org/officeDocument/2006/relationships/ctrlProp" Target="../ctrlProps/ctrlProp14.xml"/><Relationship  Id="rId17" Type="http://schemas.openxmlformats.org/officeDocument/2006/relationships/ctrlProp" Target="../ctrlProps/ctrlProp15.xml"/><Relationship  Id="rId18" Type="http://schemas.openxmlformats.org/officeDocument/2006/relationships/ctrlProp" Target="../ctrlProps/ctrlProp16.xml"/><Relationship  Id="rId19" Type="http://schemas.openxmlformats.org/officeDocument/2006/relationships/ctrlProp" Target="../ctrlProps/ctrlProp17.xml"/><Relationship  Id="rId2" Type="http://schemas.openxmlformats.org/officeDocument/2006/relationships/comments" Target="../comments1.xml"/><Relationship  Id="rId20" Type="http://schemas.openxmlformats.org/officeDocument/2006/relationships/ctrlProp" Target="../ctrlProps/ctrlProp18.xml"/><Relationship  Id="rId21" Type="http://schemas.openxmlformats.org/officeDocument/2006/relationships/ctrlProp" Target="../ctrlProps/ctrlProp19.xml"/><Relationship  Id="rId22" Type="http://schemas.openxmlformats.org/officeDocument/2006/relationships/ctrlProp" Target="../ctrlProps/ctrlProp20.xml"/><Relationship  Id="rId23" Type="http://schemas.openxmlformats.org/officeDocument/2006/relationships/ctrlProp" Target="../ctrlProps/ctrlProp21.xml"/><Relationship  Id="rId24" Type="http://schemas.openxmlformats.org/officeDocument/2006/relationships/ctrlProp" Target="../ctrlProps/ctrlProp22.xml"/><Relationship  Id="rId25" Type="http://schemas.openxmlformats.org/officeDocument/2006/relationships/ctrlProp" Target="../ctrlProps/ctrlProp23.xml"/><Relationship  Id="rId26" Type="http://schemas.openxmlformats.org/officeDocument/2006/relationships/ctrlProp" Target="../ctrlProps/ctrlProp24.xml"/><Relationship  Id="rId27" Type="http://schemas.openxmlformats.org/officeDocument/2006/relationships/ctrlProp" Target="../ctrlProps/ctrlProp25.xml"/><Relationship  Id="rId28" Type="http://schemas.openxmlformats.org/officeDocument/2006/relationships/ctrlProp" Target="../ctrlProps/ctrlProp26.xml"/><Relationship  Id="rId29" Type="http://schemas.openxmlformats.org/officeDocument/2006/relationships/ctrlProp" Target="../ctrlProps/ctrlProp27.xml"/><Relationship  Id="rId3" Type="http://schemas.openxmlformats.org/officeDocument/2006/relationships/ctrlProp" Target="../ctrlProps/ctrlProp1.xml"/><Relationship  Id="rId30" Type="http://schemas.openxmlformats.org/officeDocument/2006/relationships/ctrlProp" Target="../ctrlProps/ctrlProp28.xml"/><Relationship  Id="rId31" Type="http://schemas.openxmlformats.org/officeDocument/2006/relationships/ctrlProp" Target="../ctrlProps/ctrlProp29.xml"/><Relationship  Id="rId32" Type="http://schemas.openxmlformats.org/officeDocument/2006/relationships/ctrlProp" Target="../ctrlProps/ctrlProp30.xml"/><Relationship  Id="rId33" Type="http://schemas.openxmlformats.org/officeDocument/2006/relationships/ctrlProp" Target="../ctrlProps/ctrlProp31.xml"/><Relationship  Id="rId34" Type="http://schemas.openxmlformats.org/officeDocument/2006/relationships/ctrlProp" Target="../ctrlProps/ctrlProp32.xml"/><Relationship  Id="rId35" Type="http://schemas.openxmlformats.org/officeDocument/2006/relationships/ctrlProp" Target="../ctrlProps/ctrlProp33.xml"/><Relationship  Id="rId36" Type="http://schemas.openxmlformats.org/officeDocument/2006/relationships/ctrlProp" Target="../ctrlProps/ctrlProp34.xml"/><Relationship  Id="rId37" Type="http://schemas.openxmlformats.org/officeDocument/2006/relationships/ctrlProp" Target="../ctrlProps/ctrlProp35.xml"/><Relationship  Id="rId38" Type="http://schemas.openxmlformats.org/officeDocument/2006/relationships/ctrlProp" Target="../ctrlProps/ctrlProp36.xml"/><Relationship  Id="rId39" Type="http://schemas.openxmlformats.org/officeDocument/2006/relationships/ctrlProp" Target="../ctrlProps/ctrlProp37.xml"/><Relationship  Id="rId4" Type="http://schemas.openxmlformats.org/officeDocument/2006/relationships/ctrlProp" Target="../ctrlProps/ctrlProp2.xml"/><Relationship  Id="rId40" Type="http://schemas.openxmlformats.org/officeDocument/2006/relationships/ctrlProp" Target="../ctrlProps/ctrlProp38.xml"/><Relationship  Id="rId41" Type="http://schemas.openxmlformats.org/officeDocument/2006/relationships/ctrlProp" Target="../ctrlProps/ctrlProp39.xml"/><Relationship  Id="rId42" Type="http://schemas.openxmlformats.org/officeDocument/2006/relationships/ctrlProp" Target="../ctrlProps/ctrlProp40.xml"/><Relationship  Id="rId43" Type="http://schemas.openxmlformats.org/officeDocument/2006/relationships/drawing" Target="../drawings/drawing1.xml"/><Relationship  Id="rId44" Type="http://schemas.openxmlformats.org/officeDocument/2006/relationships/vmlDrawing" Target="../drawings/vmlDrawing1.vml"/><Relationship  Id="rId5" Type="http://schemas.openxmlformats.org/officeDocument/2006/relationships/ctrlProp" Target="../ctrlProps/ctrlProp3.xml"/><Relationship  Id="rId6" Type="http://schemas.openxmlformats.org/officeDocument/2006/relationships/ctrlProp" Target="../ctrlProps/ctrlProp4.xml"/><Relationship  Id="rId7" Type="http://schemas.openxmlformats.org/officeDocument/2006/relationships/ctrlProp" Target="../ctrlProps/ctrlProp5.xml"/><Relationship  Id="rId8" Type="http://schemas.openxmlformats.org/officeDocument/2006/relationships/ctrlProp" Target="../ctrlProps/ctrlProp6.xml"/><Relationship  Id="rId9" Type="http://schemas.openxmlformats.org/officeDocument/2006/relationships/ctrlProp" Target="../ctrlProps/ctrlProp7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41.xml"/><Relationship  Id="rId2" Type="http://schemas.openxmlformats.org/officeDocument/2006/relationships/ctrlProp" Target="../ctrlProps/ctrlProp42.xml"/><Relationship  Id="rId3" Type="http://schemas.openxmlformats.org/officeDocument/2006/relationships/ctrlProp" Target="../ctrlProps/ctrlProp43.xml"/><Relationship  Id="rId4" Type="http://schemas.openxmlformats.org/officeDocument/2006/relationships/ctrlProp" Target="../ctrlProps/ctrlProp44.xml"/><Relationship  Id="rId5" Type="http://schemas.openxmlformats.org/officeDocument/2006/relationships/ctrlProp" Target="../ctrlProps/ctrlProp45.xml"/><Relationship  Id="rId6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46.xml"/><Relationship  Id="rId2" Type="http://schemas.openxmlformats.org/officeDocument/2006/relationships/ctrlProp" Target="../ctrlProps/ctrlProp47.xml"/><Relationship  Id="rId3" Type="http://schemas.openxmlformats.org/officeDocument/2006/relationships/ctrlProp" Target="../ctrlProps/ctrlProp48.xml"/><Relationship  Id="rId4" Type="http://schemas.openxmlformats.org/officeDocument/2006/relationships/ctrlProp" Target="../ctrlProps/ctrlProp49.xml"/><Relationship  Id="rId5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50.xml"/><Relationship  Id="rId2" Type="http://schemas.openxmlformats.org/officeDocument/2006/relationships/drawing" Target="../drawings/drawing2.xml"/><Relationship  Id="rId3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51.xml"/><Relationship  Id="rId2" Type="http://schemas.openxmlformats.org/officeDocument/2006/relationships/ctrlProp" Target="../ctrlProps/ctrlProp52.xml"/><Relationship  Id="rId3" Type="http://schemas.openxmlformats.org/officeDocument/2006/relationships/drawing" Target="../drawings/drawing4.xml"/><Relationship  Id="rId4" Type="http://schemas.openxmlformats.org/officeDocument/2006/relationships/vmlDrawing" Target="../drawings/vmlDrawing5.v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60" workbookViewId="0">
      <selection activeCell="B9" activeCellId="0" sqref="B9"/>
    </sheetView>
  </sheetViews>
  <sheetFormatPr baseColWidth="10" defaultColWidth="9.21875" defaultRowHeight="14.4"/>
  <cols>
    <col customWidth="1" min="1" max="4" width="3.6640625"/>
    <col customWidth="1" min="5" max="5" style="1" width="30.88671875"/>
  </cols>
  <sheetData>
    <row r="1" s="2" customFormat="1" ht="33.600000000000001" customHeight="1">
      <c r="A1" s="3" t="s">
        <v>0</v>
      </c>
      <c r="B1" s="3"/>
      <c r="C1" s="3"/>
      <c r="D1" s="3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 ht="31.800000000000001">
      <c r="A3" s="5"/>
      <c r="B3" s="5"/>
      <c r="C3" s="5"/>
      <c r="D3" s="5"/>
      <c r="E3" s="6" t="s">
        <v>5</v>
      </c>
    </row>
    <row r="4" ht="21.600000000000001">
      <c r="A4" s="7"/>
      <c r="B4" s="7"/>
      <c r="C4" s="7"/>
      <c r="D4" s="7"/>
      <c r="E4" s="8" t="s">
        <v>6</v>
      </c>
    </row>
    <row r="5" ht="31.800000000000001">
      <c r="A5" s="5"/>
      <c r="B5" s="5"/>
      <c r="C5" s="5"/>
      <c r="D5" s="5"/>
      <c r="E5" s="6" t="s">
        <v>7</v>
      </c>
    </row>
    <row r="6" ht="21.600000000000001">
      <c r="A6" s="7"/>
      <c r="B6" s="7"/>
      <c r="C6" s="7"/>
      <c r="D6" s="7"/>
      <c r="E6" s="8" t="s">
        <v>8</v>
      </c>
    </row>
    <row r="7" ht="52.200000000000003">
      <c r="A7" s="5"/>
      <c r="B7" s="5"/>
      <c r="C7" s="5"/>
      <c r="D7" s="5"/>
      <c r="E7" s="6" t="s">
        <v>9</v>
      </c>
    </row>
    <row r="8" ht="42">
      <c r="A8" s="7"/>
      <c r="B8" s="7"/>
      <c r="C8" s="7"/>
      <c r="D8" s="7"/>
      <c r="E8" s="8" t="s">
        <v>10</v>
      </c>
    </row>
    <row r="9" ht="31.800000000000001">
      <c r="A9" s="5"/>
      <c r="B9" s="5"/>
      <c r="C9" s="5"/>
      <c r="D9" s="5"/>
      <c r="E9" s="6" t="s">
        <v>11</v>
      </c>
    </row>
    <row r="10" ht="21.600000000000001">
      <c r="A10" s="7"/>
      <c r="B10" s="7"/>
      <c r="C10" s="7"/>
      <c r="D10" s="7"/>
      <c r="E10" s="8" t="s">
        <v>12</v>
      </c>
    </row>
    <row r="11" ht="31.800000000000001">
      <c r="A11" s="5"/>
      <c r="B11" s="5"/>
      <c r="C11" s="5"/>
      <c r="D11" s="5"/>
      <c r="E11" s="6" t="s">
        <v>13</v>
      </c>
    </row>
    <row r="12" ht="31.800000000000001">
      <c r="A12" s="7"/>
      <c r="B12" s="7"/>
      <c r="C12" s="7"/>
      <c r="D12" s="7"/>
      <c r="E12" s="8" t="s">
        <v>14</v>
      </c>
    </row>
    <row r="13">
      <c r="A13" s="7"/>
      <c r="B13" s="7"/>
      <c r="C13" s="7"/>
      <c r="D13" s="7"/>
    </row>
  </sheetData>
  <sheetProtection algorithmName="SHA-512" hashValue="NGGEJudwiVK7E29SiCB7MYt2cwv2VhRvyUHl3gCMElxu2VwM1ZPPOx83CE2nUa7kWBKMxx3RUjR2QjeMIClWDw==" saltValue="/Rh5kGWpIFvUzT3ktty4f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43"/>
  <legacyDrawing r:id="rId44"/>
  <controls>
    <mc:AlternateContent xmlns:mc="http://schemas.openxmlformats.org/markup-compatibility/2006">
      <mc:Choice Requires="x14">
        <control name="Check Box 2" shapeId="6144" r:id="rId3">
          <controlPr autoFill="0" autoLine="0" autoPict="0" defaultSize="0">
            <anchor sizeWithCells="1">
              <from>
                <xdr:col>0</xdr:col>
                <xdr:colOff>38100</xdr:colOff>
                <xdr:row>1</xdr:row>
                <xdr:rowOff>152400</xdr:rowOff>
              </from>
              <to>
                <xdr:col>1</xdr:col>
                <xdr:colOff>76200</xdr:colOff>
                <xdr:row>3</xdr:row>
                <xdr:rowOff>7620</xdr:rowOff>
              </to>
            </anchor>
          </controlPr>
        </control>
      </mc:Choice>
      <mc:Fallback>
        <control name="Check Box 2" shapeId="6144" r:id="rId3"/>
      </mc:Fallback>
    </mc:AlternateContent>
    <mc:AlternateContent xmlns:mc="http://schemas.openxmlformats.org/markup-compatibility/2006">
      <mc:Choice Requires="x14">
        <control name="Check Box 4" shapeId="6145" r:id="rId4">
          <controlPr autoFill="0" autoLine="0" autoPict="0" defaultSize="0">
            <anchor sizeWithCells="1">
              <from>
                <xdr:col>1</xdr:col>
                <xdr:colOff>38100</xdr:colOff>
                <xdr:row>1</xdr:row>
                <xdr:rowOff>152400</xdr:rowOff>
              </from>
              <to>
                <xdr:col>2</xdr:col>
                <xdr:colOff>76200</xdr:colOff>
                <xdr:row>3</xdr:row>
                <xdr:rowOff>7620</xdr:rowOff>
              </to>
            </anchor>
          </controlPr>
        </control>
      </mc:Choice>
      <mc:Fallback>
        <control name="Check Box 4" shapeId="6145" r:id="rId4"/>
      </mc:Fallback>
    </mc:AlternateContent>
    <mc:AlternateContent xmlns:mc="http://schemas.openxmlformats.org/markup-compatibility/2006">
      <mc:Choice Requires="x14">
        <control name="Check Box 5" shapeId="6146" r:id="rId5">
          <controlPr autoFill="0" autoLine="0" autoPict="0" defaultSize="0">
            <anchor sizeWithCells="1">
              <from>
                <xdr:col>2</xdr:col>
                <xdr:colOff>38100</xdr:colOff>
                <xdr:row>1</xdr:row>
                <xdr:rowOff>152400</xdr:rowOff>
              </from>
              <to>
                <xdr:col>3</xdr:col>
                <xdr:colOff>76200</xdr:colOff>
                <xdr:row>3</xdr:row>
                <xdr:rowOff>7620</xdr:rowOff>
              </to>
            </anchor>
          </controlPr>
        </control>
      </mc:Choice>
      <mc:Fallback>
        <control name="Check Box 5" shapeId="6146" r:id="rId5"/>
      </mc:Fallback>
    </mc:AlternateContent>
    <mc:AlternateContent xmlns:mc="http://schemas.openxmlformats.org/markup-compatibility/2006">
      <mc:Choice Requires="x14">
        <control name="Check Box 6" shapeId="6147" r:id="rId6">
          <controlPr autoFill="0" autoLine="0" autoPict="0" defaultSize="0">
            <anchor sizeWithCells="1">
              <from>
                <xdr:col>3</xdr:col>
                <xdr:colOff>30480</xdr:colOff>
                <xdr:row>1</xdr:row>
                <xdr:rowOff>152400</xdr:rowOff>
              </from>
              <to>
                <xdr:col>4</xdr:col>
                <xdr:colOff>76200</xdr:colOff>
                <xdr:row>3</xdr:row>
                <xdr:rowOff>7620</xdr:rowOff>
              </to>
            </anchor>
          </controlPr>
        </control>
      </mc:Choice>
      <mc:Fallback>
        <control name="Check Box 6" shapeId="6147" r:id="rId6"/>
      </mc:Fallback>
    </mc:AlternateContent>
    <mc:AlternateContent xmlns:mc="http://schemas.openxmlformats.org/markup-compatibility/2006">
      <mc:Choice Requires="x14">
        <control name="Check Box 28" shapeId="6148" r:id="rId7">
          <controlPr autoFill="0" autoLine="0" autoPict="0" defaultSize="0">
            <anchor sizeWithCells="1">
              <from>
                <xdr:col>0</xdr:col>
                <xdr:colOff>38100</xdr:colOff>
                <xdr:row>2</xdr:row>
                <xdr:rowOff>320040</xdr:rowOff>
              </from>
              <to>
                <xdr:col>1</xdr:col>
                <xdr:colOff>76200</xdr:colOff>
                <xdr:row>4</xdr:row>
                <xdr:rowOff>83820</xdr:rowOff>
              </to>
            </anchor>
          </controlPr>
        </control>
      </mc:Choice>
      <mc:Fallback>
        <control name="Check Box 28" shapeId="6148" r:id="rId7"/>
      </mc:Fallback>
    </mc:AlternateContent>
    <mc:AlternateContent xmlns:mc="http://schemas.openxmlformats.org/markup-compatibility/2006">
      <mc:Choice Requires="x14">
        <control name="Check Box 29" shapeId="6149" r:id="rId8">
          <controlPr autoFill="0" autoLine="0" autoPict="0" defaultSize="0">
            <anchor sizeWithCells="1">
              <from>
                <xdr:col>1</xdr:col>
                <xdr:colOff>38100</xdr:colOff>
                <xdr:row>2</xdr:row>
                <xdr:rowOff>320040</xdr:rowOff>
              </from>
              <to>
                <xdr:col>2</xdr:col>
                <xdr:colOff>76200</xdr:colOff>
                <xdr:row>4</xdr:row>
                <xdr:rowOff>83820</xdr:rowOff>
              </to>
            </anchor>
          </controlPr>
        </control>
      </mc:Choice>
      <mc:Fallback>
        <control name="Check Box 29" shapeId="6149" r:id="rId8"/>
      </mc:Fallback>
    </mc:AlternateContent>
    <mc:AlternateContent xmlns:mc="http://schemas.openxmlformats.org/markup-compatibility/2006">
      <mc:Choice Requires="x14">
        <control name="Check Box 30" shapeId="6150" r:id="rId9">
          <controlPr autoFill="0" autoLine="0" autoPict="0" defaultSize="0">
            <anchor sizeWithCells="1">
              <from>
                <xdr:col>2</xdr:col>
                <xdr:colOff>38100</xdr:colOff>
                <xdr:row>2</xdr:row>
                <xdr:rowOff>320040</xdr:rowOff>
              </from>
              <to>
                <xdr:col>3</xdr:col>
                <xdr:colOff>76200</xdr:colOff>
                <xdr:row>4</xdr:row>
                <xdr:rowOff>83820</xdr:rowOff>
              </to>
            </anchor>
          </controlPr>
        </control>
      </mc:Choice>
      <mc:Fallback>
        <control name="Check Box 30" shapeId="6150" r:id="rId9"/>
      </mc:Fallback>
    </mc:AlternateContent>
    <mc:AlternateContent xmlns:mc="http://schemas.openxmlformats.org/markup-compatibility/2006">
      <mc:Choice Requires="x14">
        <control name="Check Box 31" shapeId="6151" r:id="rId10">
          <controlPr autoFill="0" autoLine="0" autoPict="0" defaultSize="0">
            <anchor sizeWithCells="1">
              <from>
                <xdr:col>3</xdr:col>
                <xdr:colOff>22860</xdr:colOff>
                <xdr:row>2</xdr:row>
                <xdr:rowOff>320040</xdr:rowOff>
              </from>
              <to>
                <xdr:col>4</xdr:col>
                <xdr:colOff>68580</xdr:colOff>
                <xdr:row>4</xdr:row>
                <xdr:rowOff>83820</xdr:rowOff>
              </to>
            </anchor>
          </controlPr>
        </control>
      </mc:Choice>
      <mc:Fallback>
        <control name="Check Box 31" shapeId="6151" r:id="rId10"/>
      </mc:Fallback>
    </mc:AlternateContent>
    <mc:AlternateContent xmlns:mc="http://schemas.openxmlformats.org/markup-compatibility/2006">
      <mc:Choice Requires="x14">
        <control name="Check Box 32" shapeId="6152" r:id="rId11">
          <controlPr autoFill="0" autoLine="0" autoPict="0" defaultSize="0">
            <anchor sizeWithCells="1">
              <from>
                <xdr:col>0</xdr:col>
                <xdr:colOff>30480</xdr:colOff>
                <xdr:row>3</xdr:row>
                <xdr:rowOff>259078</xdr:rowOff>
              </from>
              <to>
                <xdr:col>1</xdr:col>
                <xdr:colOff>68580</xdr:colOff>
                <xdr:row>5</xdr:row>
                <xdr:rowOff>22860</xdr:rowOff>
              </to>
            </anchor>
          </controlPr>
        </control>
      </mc:Choice>
      <mc:Fallback>
        <control name="Check Box 32" shapeId="6152" r:id="rId11"/>
      </mc:Fallback>
    </mc:AlternateContent>
    <mc:AlternateContent xmlns:mc="http://schemas.openxmlformats.org/markup-compatibility/2006">
      <mc:Choice Requires="x14">
        <control name="Check Box 33" shapeId="6153" r:id="rId12">
          <controlPr autoFill="0" autoLine="0" autoPict="0" defaultSize="0">
            <anchor sizeWithCells="1">
              <from>
                <xdr:col>1</xdr:col>
                <xdr:colOff>30480</xdr:colOff>
                <xdr:row>3</xdr:row>
                <xdr:rowOff>259078</xdr:rowOff>
              </from>
              <to>
                <xdr:col>2</xdr:col>
                <xdr:colOff>68580</xdr:colOff>
                <xdr:row>5</xdr:row>
                <xdr:rowOff>22860</xdr:rowOff>
              </to>
            </anchor>
          </controlPr>
        </control>
      </mc:Choice>
      <mc:Fallback>
        <control name="Check Box 33" shapeId="6153" r:id="rId12"/>
      </mc:Fallback>
    </mc:AlternateContent>
    <mc:AlternateContent xmlns:mc="http://schemas.openxmlformats.org/markup-compatibility/2006">
      <mc:Choice Requires="x14">
        <control name="Check Box 34" shapeId="6154" r:id="rId13">
          <controlPr autoFill="0" autoLine="0" autoPict="0" defaultSize="0">
            <anchor sizeWithCells="1">
              <from>
                <xdr:col>2</xdr:col>
                <xdr:colOff>30480</xdr:colOff>
                <xdr:row>3</xdr:row>
                <xdr:rowOff>259078</xdr:rowOff>
              </from>
              <to>
                <xdr:col>3</xdr:col>
                <xdr:colOff>68580</xdr:colOff>
                <xdr:row>5</xdr:row>
                <xdr:rowOff>22860</xdr:rowOff>
              </to>
            </anchor>
          </controlPr>
        </control>
      </mc:Choice>
      <mc:Fallback>
        <control name="Check Box 34" shapeId="6154" r:id="rId13"/>
      </mc:Fallback>
    </mc:AlternateContent>
    <mc:AlternateContent xmlns:mc="http://schemas.openxmlformats.org/markup-compatibility/2006">
      <mc:Choice Requires="x14">
        <control name="Check Box 35" shapeId="6155" r:id="rId14">
          <controlPr autoFill="0" autoLine="0" autoPict="0" defaultSize="0">
            <anchor sizeWithCells="1">
              <from>
                <xdr:col>3</xdr:col>
                <xdr:colOff>22860</xdr:colOff>
                <xdr:row>3</xdr:row>
                <xdr:rowOff>259078</xdr:rowOff>
              </from>
              <to>
                <xdr:col>4</xdr:col>
                <xdr:colOff>68580</xdr:colOff>
                <xdr:row>5</xdr:row>
                <xdr:rowOff>22860</xdr:rowOff>
              </to>
            </anchor>
          </controlPr>
        </control>
      </mc:Choice>
      <mc:Fallback>
        <control name="Check Box 35" shapeId="6155" r:id="rId14"/>
      </mc:Fallback>
    </mc:AlternateContent>
    <mc:AlternateContent xmlns:mc="http://schemas.openxmlformats.org/markup-compatibility/2006">
      <mc:Choice Requires="x14">
        <control name="Check Box 36" shapeId="6156" r:id="rId15">
          <controlPr autoFill="0" autoLine="0" autoPict="0" defaultSize="0">
            <anchor sizeWithCells="1">
              <from>
                <xdr:col>0</xdr:col>
                <xdr:colOff>38100</xdr:colOff>
                <xdr:row>4</xdr:row>
                <xdr:rowOff>320040</xdr:rowOff>
              </from>
              <to>
                <xdr:col>1</xdr:col>
                <xdr:colOff>76200</xdr:colOff>
                <xdr:row>6</xdr:row>
                <xdr:rowOff>83820</xdr:rowOff>
              </to>
            </anchor>
          </controlPr>
        </control>
      </mc:Choice>
      <mc:Fallback>
        <control name="Check Box 36" shapeId="6156" r:id="rId15"/>
      </mc:Fallback>
    </mc:AlternateContent>
    <mc:AlternateContent xmlns:mc="http://schemas.openxmlformats.org/markup-compatibility/2006">
      <mc:Choice Requires="x14">
        <control name="Check Box 37" shapeId="6157" r:id="rId16">
          <controlPr autoFill="0" autoLine="0" autoPict="0" defaultSize="0">
            <anchor sizeWithCells="1">
              <from>
                <xdr:col>1</xdr:col>
                <xdr:colOff>38100</xdr:colOff>
                <xdr:row>4</xdr:row>
                <xdr:rowOff>320040</xdr:rowOff>
              </from>
              <to>
                <xdr:col>2</xdr:col>
                <xdr:colOff>76200</xdr:colOff>
                <xdr:row>6</xdr:row>
                <xdr:rowOff>83820</xdr:rowOff>
              </to>
            </anchor>
          </controlPr>
        </control>
      </mc:Choice>
      <mc:Fallback>
        <control name="Check Box 37" shapeId="6157" r:id="rId16"/>
      </mc:Fallback>
    </mc:AlternateContent>
    <mc:AlternateContent xmlns:mc="http://schemas.openxmlformats.org/markup-compatibility/2006">
      <mc:Choice Requires="x14">
        <control name="Check Box 38" shapeId="6158" r:id="rId17">
          <controlPr autoFill="0" autoLine="0" autoPict="0" defaultSize="0">
            <anchor sizeWithCells="1">
              <from>
                <xdr:col>2</xdr:col>
                <xdr:colOff>38100</xdr:colOff>
                <xdr:row>4</xdr:row>
                <xdr:rowOff>320040</xdr:rowOff>
              </from>
              <to>
                <xdr:col>3</xdr:col>
                <xdr:colOff>76200</xdr:colOff>
                <xdr:row>6</xdr:row>
                <xdr:rowOff>83820</xdr:rowOff>
              </to>
            </anchor>
          </controlPr>
        </control>
      </mc:Choice>
      <mc:Fallback>
        <control name="Check Box 38" shapeId="6158" r:id="rId17"/>
      </mc:Fallback>
    </mc:AlternateContent>
    <mc:AlternateContent xmlns:mc="http://schemas.openxmlformats.org/markup-compatibility/2006">
      <mc:Choice Requires="x14">
        <control name="Check Box 39" shapeId="6159" r:id="rId18">
          <controlPr autoFill="0" autoLine="0" autoPict="0" defaultSize="0">
            <anchor sizeWithCells="1">
              <from>
                <xdr:col>3</xdr:col>
                <xdr:colOff>30480</xdr:colOff>
                <xdr:row>4</xdr:row>
                <xdr:rowOff>320040</xdr:rowOff>
              </from>
              <to>
                <xdr:col>4</xdr:col>
                <xdr:colOff>76200</xdr:colOff>
                <xdr:row>6</xdr:row>
                <xdr:rowOff>83820</xdr:rowOff>
              </to>
            </anchor>
          </controlPr>
        </control>
      </mc:Choice>
      <mc:Fallback>
        <control name="Check Box 39" shapeId="6159" r:id="rId18"/>
      </mc:Fallback>
    </mc:AlternateContent>
    <mc:AlternateContent xmlns:mc="http://schemas.openxmlformats.org/markup-compatibility/2006">
      <mc:Choice Requires="x14">
        <control name="Check Box 40" shapeId="6160" r:id="rId19">
          <controlPr autoFill="0" autoLine="0" autoPict="0" defaultSize="0">
            <anchor sizeWithCells="1">
              <from>
                <xdr:col>0</xdr:col>
                <xdr:colOff>30480</xdr:colOff>
                <xdr:row>6</xdr:row>
                <xdr:rowOff>114300</xdr:rowOff>
              </from>
              <to>
                <xdr:col>1</xdr:col>
                <xdr:colOff>68580</xdr:colOff>
                <xdr:row>6</xdr:row>
                <xdr:rowOff>556260</xdr:rowOff>
              </to>
            </anchor>
          </controlPr>
        </control>
      </mc:Choice>
      <mc:Fallback>
        <control name="Check Box 40" shapeId="6160" r:id="rId19"/>
      </mc:Fallback>
    </mc:AlternateContent>
    <mc:AlternateContent xmlns:mc="http://schemas.openxmlformats.org/markup-compatibility/2006">
      <mc:Choice Requires="x14">
        <control name="Check Box 41" shapeId="6161" r:id="rId20">
          <controlPr autoFill="0" autoLine="0" autoPict="0" defaultSize="0">
            <anchor sizeWithCells="1">
              <from>
                <xdr:col>1</xdr:col>
                <xdr:colOff>30480</xdr:colOff>
                <xdr:row>6</xdr:row>
                <xdr:rowOff>114300</xdr:rowOff>
              </from>
              <to>
                <xdr:col>2</xdr:col>
                <xdr:colOff>68580</xdr:colOff>
                <xdr:row>6</xdr:row>
                <xdr:rowOff>556260</xdr:rowOff>
              </to>
            </anchor>
          </controlPr>
        </control>
      </mc:Choice>
      <mc:Fallback>
        <control name="Check Box 41" shapeId="6161" r:id="rId20"/>
      </mc:Fallback>
    </mc:AlternateContent>
    <mc:AlternateContent xmlns:mc="http://schemas.openxmlformats.org/markup-compatibility/2006">
      <mc:Choice Requires="x14">
        <control name="Check Box 42" shapeId="6162" r:id="rId21">
          <controlPr autoFill="0" autoLine="0" autoPict="0" defaultSize="0">
            <anchor sizeWithCells="1">
              <from>
                <xdr:col>2</xdr:col>
                <xdr:colOff>30480</xdr:colOff>
                <xdr:row>6</xdr:row>
                <xdr:rowOff>114300</xdr:rowOff>
              </from>
              <to>
                <xdr:col>3</xdr:col>
                <xdr:colOff>68580</xdr:colOff>
                <xdr:row>6</xdr:row>
                <xdr:rowOff>556260</xdr:rowOff>
              </to>
            </anchor>
          </controlPr>
        </control>
      </mc:Choice>
      <mc:Fallback>
        <control name="Check Box 42" shapeId="6162" r:id="rId21"/>
      </mc:Fallback>
    </mc:AlternateContent>
    <mc:AlternateContent xmlns:mc="http://schemas.openxmlformats.org/markup-compatibility/2006">
      <mc:Choice Requires="x14">
        <control name="Check Box 43" shapeId="6163" r:id="rId22">
          <controlPr autoFill="0" autoLine="0" autoPict="0" defaultSize="0">
            <anchor sizeWithCells="1">
              <from>
                <xdr:col>3</xdr:col>
                <xdr:colOff>22860</xdr:colOff>
                <xdr:row>6</xdr:row>
                <xdr:rowOff>114300</xdr:rowOff>
              </from>
              <to>
                <xdr:col>4</xdr:col>
                <xdr:colOff>68580</xdr:colOff>
                <xdr:row>6</xdr:row>
                <xdr:rowOff>556260</xdr:rowOff>
              </to>
            </anchor>
          </controlPr>
        </control>
      </mc:Choice>
      <mc:Fallback>
        <control name="Check Box 43" shapeId="6163" r:id="rId22"/>
      </mc:Fallback>
    </mc:AlternateContent>
    <mc:AlternateContent xmlns:mc="http://schemas.openxmlformats.org/markup-compatibility/2006">
      <mc:Choice Requires="x14">
        <control name="Check Box 44" shapeId="6164" r:id="rId23">
          <controlPr autoFill="0" autoLine="0" autoPict="0" defaultSize="0">
            <anchor sizeWithCells="1">
              <from>
                <xdr:col>0</xdr:col>
                <xdr:colOff>38100</xdr:colOff>
                <xdr:row>7</xdr:row>
                <xdr:rowOff>30480</xdr:rowOff>
              </from>
              <to>
                <xdr:col>1</xdr:col>
                <xdr:colOff>76200</xdr:colOff>
                <xdr:row>7</xdr:row>
                <xdr:rowOff>472440</xdr:rowOff>
              </to>
            </anchor>
          </controlPr>
        </control>
      </mc:Choice>
      <mc:Fallback>
        <control name="Check Box 44" shapeId="6164" r:id="rId23"/>
      </mc:Fallback>
    </mc:AlternateContent>
    <mc:AlternateContent xmlns:mc="http://schemas.openxmlformats.org/markup-compatibility/2006">
      <mc:Choice Requires="x14">
        <control name="Check Box 45" shapeId="6165" r:id="rId24">
          <controlPr autoFill="0" autoLine="0" autoPict="0" defaultSize="0">
            <anchor sizeWithCells="1">
              <from>
                <xdr:col>1</xdr:col>
                <xdr:colOff>38100</xdr:colOff>
                <xdr:row>7</xdr:row>
                <xdr:rowOff>30480</xdr:rowOff>
              </from>
              <to>
                <xdr:col>2</xdr:col>
                <xdr:colOff>76200</xdr:colOff>
                <xdr:row>7</xdr:row>
                <xdr:rowOff>472440</xdr:rowOff>
              </to>
            </anchor>
          </controlPr>
        </control>
      </mc:Choice>
      <mc:Fallback>
        <control name="Check Box 45" shapeId="6165" r:id="rId24"/>
      </mc:Fallback>
    </mc:AlternateContent>
    <mc:AlternateContent xmlns:mc="http://schemas.openxmlformats.org/markup-compatibility/2006">
      <mc:Choice Requires="x14">
        <control name="Check Box 46" shapeId="6166" r:id="rId25">
          <controlPr autoFill="0" autoLine="0" autoPict="0" defaultSize="0">
            <anchor sizeWithCells="1">
              <from>
                <xdr:col>2</xdr:col>
                <xdr:colOff>38100</xdr:colOff>
                <xdr:row>7</xdr:row>
                <xdr:rowOff>30480</xdr:rowOff>
              </from>
              <to>
                <xdr:col>3</xdr:col>
                <xdr:colOff>76200</xdr:colOff>
                <xdr:row>7</xdr:row>
                <xdr:rowOff>472440</xdr:rowOff>
              </to>
            </anchor>
          </controlPr>
        </control>
      </mc:Choice>
      <mc:Fallback>
        <control name="Check Box 46" shapeId="6166" r:id="rId25"/>
      </mc:Fallback>
    </mc:AlternateContent>
    <mc:AlternateContent xmlns:mc="http://schemas.openxmlformats.org/markup-compatibility/2006">
      <mc:Choice Requires="x14">
        <control name="Check Box 47" shapeId="6167" r:id="rId26">
          <controlPr autoFill="0" autoLine="0" autoPict="0" defaultSize="0">
            <anchor sizeWithCells="1">
              <from>
                <xdr:col>3</xdr:col>
                <xdr:colOff>30480</xdr:colOff>
                <xdr:row>7</xdr:row>
                <xdr:rowOff>30480</xdr:rowOff>
              </from>
              <to>
                <xdr:col>4</xdr:col>
                <xdr:colOff>76200</xdr:colOff>
                <xdr:row>7</xdr:row>
                <xdr:rowOff>472440</xdr:rowOff>
              </to>
            </anchor>
          </controlPr>
        </control>
      </mc:Choice>
      <mc:Fallback>
        <control name="Check Box 47" shapeId="6167" r:id="rId26"/>
      </mc:Fallback>
    </mc:AlternateContent>
    <mc:AlternateContent xmlns:mc="http://schemas.openxmlformats.org/markup-compatibility/2006">
      <mc:Choice Requires="x14">
        <control name="Check Box 48" shapeId="6168" r:id="rId27">
          <controlPr autoFill="0" autoLine="0" autoPict="0" defaultSize="0">
            <anchor sizeWithCells="1">
              <from>
                <xdr:col>0</xdr:col>
                <xdr:colOff>38100</xdr:colOff>
                <xdr:row>7</xdr:row>
                <xdr:rowOff>502920</xdr:rowOff>
              </from>
              <to>
                <xdr:col>1</xdr:col>
                <xdr:colOff>76200</xdr:colOff>
                <xdr:row>9</xdr:row>
                <xdr:rowOff>7620</xdr:rowOff>
              </to>
            </anchor>
          </controlPr>
        </control>
      </mc:Choice>
      <mc:Fallback>
        <control name="Check Box 48" shapeId="6168" r:id="rId27"/>
      </mc:Fallback>
    </mc:AlternateContent>
    <mc:AlternateContent xmlns:mc="http://schemas.openxmlformats.org/markup-compatibility/2006">
      <mc:Choice Requires="x14">
        <control name="Check Box 49" shapeId="6169" r:id="rId28">
          <controlPr autoFill="0" autoLine="0" autoPict="0" defaultSize="0">
            <anchor sizeWithCells="1">
              <from>
                <xdr:col>1</xdr:col>
                <xdr:colOff>30480</xdr:colOff>
                <xdr:row>7</xdr:row>
                <xdr:rowOff>502920</xdr:rowOff>
              </from>
              <to>
                <xdr:col>2</xdr:col>
                <xdr:colOff>68580</xdr:colOff>
                <xdr:row>9</xdr:row>
                <xdr:rowOff>7620</xdr:rowOff>
              </to>
            </anchor>
          </controlPr>
        </control>
      </mc:Choice>
      <mc:Fallback>
        <control name="Check Box 49" shapeId="6169" r:id="rId28"/>
      </mc:Fallback>
    </mc:AlternateContent>
    <mc:AlternateContent xmlns:mc="http://schemas.openxmlformats.org/markup-compatibility/2006">
      <mc:Choice Requires="x14">
        <control name="Check Box 50" shapeId="6170" r:id="rId29">
          <controlPr autoFill="0" autoLine="0" autoPict="0" defaultSize="0">
            <anchor sizeWithCells="1">
              <from>
                <xdr:col>2</xdr:col>
                <xdr:colOff>30480</xdr:colOff>
                <xdr:row>7</xdr:row>
                <xdr:rowOff>502920</xdr:rowOff>
              </from>
              <to>
                <xdr:col>3</xdr:col>
                <xdr:colOff>68580</xdr:colOff>
                <xdr:row>9</xdr:row>
                <xdr:rowOff>7620</xdr:rowOff>
              </to>
            </anchor>
          </controlPr>
        </control>
      </mc:Choice>
      <mc:Fallback>
        <control name="Check Box 50" shapeId="6170" r:id="rId29"/>
      </mc:Fallback>
    </mc:AlternateContent>
    <mc:AlternateContent xmlns:mc="http://schemas.openxmlformats.org/markup-compatibility/2006">
      <mc:Choice Requires="x14">
        <control name="Check Box 51" shapeId="6171" r:id="rId30">
          <controlPr autoFill="0" autoLine="0" autoPict="0" defaultSize="0">
            <anchor sizeWithCells="1">
              <from>
                <xdr:col>3</xdr:col>
                <xdr:colOff>22860</xdr:colOff>
                <xdr:row>7</xdr:row>
                <xdr:rowOff>502920</xdr:rowOff>
              </from>
              <to>
                <xdr:col>4</xdr:col>
                <xdr:colOff>68580</xdr:colOff>
                <xdr:row>9</xdr:row>
                <xdr:rowOff>7620</xdr:rowOff>
              </to>
            </anchor>
          </controlPr>
        </control>
      </mc:Choice>
      <mc:Fallback>
        <control name="Check Box 51" shapeId="6171" r:id="rId30"/>
      </mc:Fallback>
    </mc:AlternateContent>
    <mc:AlternateContent xmlns:mc="http://schemas.openxmlformats.org/markup-compatibility/2006">
      <mc:Choice Requires="x14">
        <control name="Check Box 52" shapeId="6172" r:id="rId31">
          <controlPr autoFill="0" autoLine="0" autoPict="0" defaultSize="0">
            <anchor sizeWithCells="1">
              <from>
                <xdr:col>0</xdr:col>
                <xdr:colOff>38100</xdr:colOff>
                <xdr:row>8</xdr:row>
                <xdr:rowOff>312420</xdr:rowOff>
              </from>
              <to>
                <xdr:col>1</xdr:col>
                <xdr:colOff>76200</xdr:colOff>
                <xdr:row>10</xdr:row>
                <xdr:rowOff>76200</xdr:rowOff>
              </to>
            </anchor>
          </controlPr>
        </control>
      </mc:Choice>
      <mc:Fallback>
        <control name="Check Box 52" shapeId="6172" r:id="rId31"/>
      </mc:Fallback>
    </mc:AlternateContent>
    <mc:AlternateContent xmlns:mc="http://schemas.openxmlformats.org/markup-compatibility/2006">
      <mc:Choice Requires="x14">
        <control name="Check Box 53" shapeId="6173" r:id="rId32">
          <controlPr autoFill="0" autoLine="0" autoPict="0" defaultSize="0">
            <anchor sizeWithCells="1">
              <from>
                <xdr:col>1</xdr:col>
                <xdr:colOff>38100</xdr:colOff>
                <xdr:row>8</xdr:row>
                <xdr:rowOff>312420</xdr:rowOff>
              </from>
              <to>
                <xdr:col>2</xdr:col>
                <xdr:colOff>76200</xdr:colOff>
                <xdr:row>10</xdr:row>
                <xdr:rowOff>76200</xdr:rowOff>
              </to>
            </anchor>
          </controlPr>
        </control>
      </mc:Choice>
      <mc:Fallback>
        <control name="Check Box 53" shapeId="6173" r:id="rId32"/>
      </mc:Fallback>
    </mc:AlternateContent>
    <mc:AlternateContent xmlns:mc="http://schemas.openxmlformats.org/markup-compatibility/2006">
      <mc:Choice Requires="x14">
        <control name="Check Box 54" shapeId="6174" r:id="rId33">
          <controlPr autoFill="0" autoLine="0" autoPict="0" defaultSize="0">
            <anchor sizeWithCells="1">
              <from>
                <xdr:col>2</xdr:col>
                <xdr:colOff>38100</xdr:colOff>
                <xdr:row>8</xdr:row>
                <xdr:rowOff>312420</xdr:rowOff>
              </from>
              <to>
                <xdr:col>3</xdr:col>
                <xdr:colOff>76200</xdr:colOff>
                <xdr:row>10</xdr:row>
                <xdr:rowOff>76200</xdr:rowOff>
              </to>
            </anchor>
          </controlPr>
        </control>
      </mc:Choice>
      <mc:Fallback>
        <control name="Check Box 54" shapeId="6174" r:id="rId33"/>
      </mc:Fallback>
    </mc:AlternateContent>
    <mc:AlternateContent xmlns:mc="http://schemas.openxmlformats.org/markup-compatibility/2006">
      <mc:Choice Requires="x14">
        <control name="Check Box 55" shapeId="6175" r:id="rId34">
          <controlPr autoFill="0" autoLine="0" autoPict="0" defaultSize="0">
            <anchor sizeWithCells="1">
              <from>
                <xdr:col>3</xdr:col>
                <xdr:colOff>30480</xdr:colOff>
                <xdr:row>8</xdr:row>
                <xdr:rowOff>312420</xdr:rowOff>
              </from>
              <to>
                <xdr:col>4</xdr:col>
                <xdr:colOff>76200</xdr:colOff>
                <xdr:row>10</xdr:row>
                <xdr:rowOff>76200</xdr:rowOff>
              </to>
            </anchor>
          </controlPr>
        </control>
      </mc:Choice>
      <mc:Fallback>
        <control name="Check Box 55" shapeId="6175" r:id="rId34"/>
      </mc:Fallback>
    </mc:AlternateContent>
    <mc:AlternateContent xmlns:mc="http://schemas.openxmlformats.org/markup-compatibility/2006">
      <mc:Choice Requires="x14">
        <control name="Check Box 56" shapeId="6176" r:id="rId35">
          <controlPr autoFill="0" autoLine="0" autoPict="0" defaultSize="0">
            <anchor sizeWithCells="1">
              <from>
                <xdr:col>0</xdr:col>
                <xdr:colOff>45720</xdr:colOff>
                <xdr:row>9</xdr:row>
                <xdr:rowOff>259078</xdr:rowOff>
              </from>
              <to>
                <xdr:col>1</xdr:col>
                <xdr:colOff>83820</xdr:colOff>
                <xdr:row>11</xdr:row>
                <xdr:rowOff>22860</xdr:rowOff>
              </to>
            </anchor>
          </controlPr>
        </control>
      </mc:Choice>
      <mc:Fallback>
        <control name="Check Box 56" shapeId="6176" r:id="rId35"/>
      </mc:Fallback>
    </mc:AlternateContent>
    <mc:AlternateContent xmlns:mc="http://schemas.openxmlformats.org/markup-compatibility/2006">
      <mc:Choice Requires="x14">
        <control name="Check Box 57" shapeId="6177" r:id="rId36">
          <controlPr autoFill="0" autoLine="0" autoPict="0" defaultSize="0">
            <anchor sizeWithCells="1">
              <from>
                <xdr:col>1</xdr:col>
                <xdr:colOff>45720</xdr:colOff>
                <xdr:row>9</xdr:row>
                <xdr:rowOff>259078</xdr:rowOff>
              </from>
              <to>
                <xdr:col>2</xdr:col>
                <xdr:colOff>83820</xdr:colOff>
                <xdr:row>11</xdr:row>
                <xdr:rowOff>22860</xdr:rowOff>
              </to>
            </anchor>
          </controlPr>
        </control>
      </mc:Choice>
      <mc:Fallback>
        <control name="Check Box 57" shapeId="6177" r:id="rId36"/>
      </mc:Fallback>
    </mc:AlternateContent>
    <mc:AlternateContent xmlns:mc="http://schemas.openxmlformats.org/markup-compatibility/2006">
      <mc:Choice Requires="x14">
        <control name="Check Box 58" shapeId="6178" r:id="rId37">
          <controlPr autoFill="0" autoLine="0" autoPict="0" defaultSize="0">
            <anchor sizeWithCells="1">
              <from>
                <xdr:col>2</xdr:col>
                <xdr:colOff>38100</xdr:colOff>
                <xdr:row>9</xdr:row>
                <xdr:rowOff>259078</xdr:rowOff>
              </from>
              <to>
                <xdr:col>3</xdr:col>
                <xdr:colOff>76200</xdr:colOff>
                <xdr:row>11</xdr:row>
                <xdr:rowOff>22860</xdr:rowOff>
              </to>
            </anchor>
          </controlPr>
        </control>
      </mc:Choice>
      <mc:Fallback>
        <control name="Check Box 58" shapeId="6178" r:id="rId37"/>
      </mc:Fallback>
    </mc:AlternateContent>
    <mc:AlternateContent xmlns:mc="http://schemas.openxmlformats.org/markup-compatibility/2006">
      <mc:Choice Requires="x14">
        <control name="Check Box 59" shapeId="6179" r:id="rId38">
          <controlPr autoFill="0" autoLine="0" autoPict="0" defaultSize="0">
            <anchor sizeWithCells="1">
              <from>
                <xdr:col>3</xdr:col>
                <xdr:colOff>30480</xdr:colOff>
                <xdr:row>9</xdr:row>
                <xdr:rowOff>259078</xdr:rowOff>
              </from>
              <to>
                <xdr:col>4</xdr:col>
                <xdr:colOff>76200</xdr:colOff>
                <xdr:row>11</xdr:row>
                <xdr:rowOff>22860</xdr:rowOff>
              </to>
            </anchor>
          </controlPr>
        </control>
      </mc:Choice>
      <mc:Fallback>
        <control name="Check Box 59" shapeId="6179" r:id="rId38"/>
      </mc:Fallback>
    </mc:AlternateContent>
    <mc:AlternateContent xmlns:mc="http://schemas.openxmlformats.org/markup-compatibility/2006">
      <mc:Choice Requires="x14">
        <control name="Check Box 60" shapeId="6180" r:id="rId39">
          <controlPr autoFill="0" autoLine="0" autoPict="0" defaultSize="0">
            <anchor sizeWithCells="1">
              <from>
                <xdr:col>0</xdr:col>
                <xdr:colOff>30480</xdr:colOff>
                <xdr:row>10</xdr:row>
                <xdr:rowOff>396240</xdr:rowOff>
              </from>
              <to>
                <xdr:col>1</xdr:col>
                <xdr:colOff>68580</xdr:colOff>
                <xdr:row>12</xdr:row>
                <xdr:rowOff>30480</xdr:rowOff>
              </to>
            </anchor>
          </controlPr>
        </control>
      </mc:Choice>
      <mc:Fallback>
        <control name="Check Box 60" shapeId="6180" r:id="rId39"/>
      </mc:Fallback>
    </mc:AlternateContent>
    <mc:AlternateContent xmlns:mc="http://schemas.openxmlformats.org/markup-compatibility/2006">
      <mc:Choice Requires="x14">
        <control name="Check Box 61" shapeId="6181" r:id="rId40">
          <controlPr autoFill="0" autoLine="0" autoPict="0" defaultSize="0">
            <anchor sizeWithCells="1">
              <from>
                <xdr:col>1</xdr:col>
                <xdr:colOff>30480</xdr:colOff>
                <xdr:row>10</xdr:row>
                <xdr:rowOff>396240</xdr:rowOff>
              </from>
              <to>
                <xdr:col>2</xdr:col>
                <xdr:colOff>68580</xdr:colOff>
                <xdr:row>12</xdr:row>
                <xdr:rowOff>30480</xdr:rowOff>
              </to>
            </anchor>
          </controlPr>
        </control>
      </mc:Choice>
      <mc:Fallback>
        <control name="Check Box 61" shapeId="6181" r:id="rId40"/>
      </mc:Fallback>
    </mc:AlternateContent>
    <mc:AlternateContent xmlns:mc="http://schemas.openxmlformats.org/markup-compatibility/2006">
      <mc:Choice Requires="x14">
        <control name="Check Box 62" shapeId="6182" r:id="rId41">
          <controlPr autoFill="0" autoLine="0" autoPict="0" defaultSize="0">
            <anchor sizeWithCells="1">
              <from>
                <xdr:col>2</xdr:col>
                <xdr:colOff>30480</xdr:colOff>
                <xdr:row>10</xdr:row>
                <xdr:rowOff>396240</xdr:rowOff>
              </from>
              <to>
                <xdr:col>3</xdr:col>
                <xdr:colOff>68580</xdr:colOff>
                <xdr:row>12</xdr:row>
                <xdr:rowOff>30480</xdr:rowOff>
              </to>
            </anchor>
          </controlPr>
        </control>
      </mc:Choice>
      <mc:Fallback>
        <control name="Check Box 62" shapeId="6182" r:id="rId41"/>
      </mc:Fallback>
    </mc:AlternateContent>
    <mc:AlternateContent xmlns:mc="http://schemas.openxmlformats.org/markup-compatibility/2006">
      <mc:Choice Requires="x14">
        <control name="Check Box 63" shapeId="6183" r:id="rId42">
          <controlPr autoFill="0" autoLine="0" autoPict="0" defaultSize="0">
            <anchor sizeWithCells="1">
              <from>
                <xdr:col>3</xdr:col>
                <xdr:colOff>22860</xdr:colOff>
                <xdr:row>10</xdr:row>
                <xdr:rowOff>396240</xdr:rowOff>
              </from>
              <to>
                <xdr:col>4</xdr:col>
                <xdr:colOff>68580</xdr:colOff>
                <xdr:row>12</xdr:row>
                <xdr:rowOff>30480</xdr:rowOff>
              </to>
            </anchor>
          </controlPr>
        </control>
      </mc:Choice>
      <mc:Fallback>
        <control name="Check Box 63" shapeId="6183" r:id="rId4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60" workbookViewId="0">
      <selection activeCell="F3" activeCellId="0" sqref="F3"/>
    </sheetView>
  </sheetViews>
  <sheetFormatPr baseColWidth="10" defaultColWidth="9.21875" defaultRowHeight="14.4"/>
  <cols>
    <col customWidth="1" min="1" max="1" width="20.88671875"/>
    <col customWidth="1" min="2" max="2" width="13.33203125"/>
    <col customWidth="1" min="3" max="3" width="17.109375"/>
    <col customWidth="1" min="4" max="4" width="14.33203125"/>
    <col customWidth="1" min="5" max="5" width="19.33203125"/>
    <col customWidth="1" min="6" max="6" width="17.33203125"/>
  </cols>
  <sheetData>
    <row r="1" s="2" customFormat="1" ht="34.200000000000003" customHeight="1">
      <c r="A1" s="3" t="s">
        <v>15</v>
      </c>
      <c r="B1" s="3"/>
    </row>
    <row r="2" ht="15.6">
      <c r="A2" s="9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1" t="s">
        <v>21</v>
      </c>
    </row>
    <row r="3" ht="15.6">
      <c r="A3" s="12">
        <v>1</v>
      </c>
      <c r="B3" t="s">
        <v>22</v>
      </c>
      <c r="C3" s="13">
        <v>2</v>
      </c>
      <c r="D3" s="13">
        <v>26</v>
      </c>
      <c r="E3" s="13">
        <v>14</v>
      </c>
      <c r="F3" s="14"/>
    </row>
    <row r="4" ht="15.6">
      <c r="A4" s="12">
        <v>2</v>
      </c>
      <c r="B4" t="s">
        <v>23</v>
      </c>
      <c r="C4" s="15">
        <v>2</v>
      </c>
      <c r="D4" s="15">
        <v>25</v>
      </c>
      <c r="E4" s="15">
        <v>14</v>
      </c>
      <c r="F4" s="14"/>
    </row>
    <row r="5" ht="15.6">
      <c r="A5" s="12">
        <v>3</v>
      </c>
      <c r="B5" t="s">
        <v>24</v>
      </c>
      <c r="C5" s="15">
        <v>2</v>
      </c>
      <c r="D5" s="15">
        <v>25</v>
      </c>
      <c r="E5" s="15">
        <v>14</v>
      </c>
      <c r="F5" s="14"/>
    </row>
    <row r="6" ht="15.6">
      <c r="A6" s="12">
        <v>4</v>
      </c>
      <c r="B6" t="s">
        <v>25</v>
      </c>
      <c r="C6" s="15">
        <v>2</v>
      </c>
      <c r="D6" s="15">
        <v>26</v>
      </c>
      <c r="E6" s="15">
        <v>14</v>
      </c>
      <c r="F6" s="14"/>
    </row>
    <row r="7" ht="15.6">
      <c r="B7" t="s">
        <v>26</v>
      </c>
      <c r="C7" s="15">
        <f>SUM(C3:C6)</f>
        <v>8</v>
      </c>
      <c r="D7" s="15">
        <f>SUM(D3:D6)</f>
        <v>102</v>
      </c>
      <c r="E7" s="15">
        <f>SUM(E3:E6)</f>
        <v>56</v>
      </c>
      <c r="F7" s="7"/>
    </row>
    <row r="8" ht="15"/>
  </sheetData>
  <sheetProtection algorithmName="SHA-512" hashValue="2Crnj7zrWn/7Y6OA+uasJ1p74Oflk67/++6XgrphvB+/S2uUqV1qEUqOfQ2MsrQgB50PHdvJKokifsxyjHoAog==" saltValue="D5J5VLi1k06Y9vm3cu6ok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85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6"/>
  <controls>
    <mc:AlternateContent xmlns:mc="http://schemas.openxmlformats.org/markup-compatibility/2006">
      <mc:Choice Requires="x14">
        <control name="Check Box 1" shapeId="7208" r:id="rId1">
          <controlPr autoFill="0" autoLine="0" autoPict="0" defaultSize="0">
            <anchor sizeWithCells="1">
              <from>
                <xdr:col>5</xdr:col>
                <xdr:colOff>441959</xdr:colOff>
                <xdr:row>1</xdr:row>
                <xdr:rowOff>45720</xdr:rowOff>
              </from>
              <to>
                <xdr:col>5</xdr:col>
                <xdr:colOff>731520</xdr:colOff>
                <xdr:row>3</xdr:row>
                <xdr:rowOff>99060</xdr:rowOff>
              </to>
            </anchor>
          </controlPr>
        </control>
      </mc:Choice>
      <mc:Fallback>
        <control name="Check Box 1" shapeId="7208" r:id="rId1"/>
      </mc:Fallback>
    </mc:AlternateContent>
    <mc:AlternateContent xmlns:mc="http://schemas.openxmlformats.org/markup-compatibility/2006">
      <mc:Choice Requires="x14">
        <control name="Check Box 2" shapeId="7209" r:id="rId2">
          <controlPr autoFill="0" autoLine="0" autoPict="0" defaultSize="0">
            <anchor sizeWithCells="1">
              <from>
                <xdr:col>5</xdr:col>
                <xdr:colOff>441959</xdr:colOff>
                <xdr:row>2</xdr:row>
                <xdr:rowOff>0</xdr:rowOff>
              </from>
              <to>
                <xdr:col>5</xdr:col>
                <xdr:colOff>670560</xdr:colOff>
                <xdr:row>2</xdr:row>
                <xdr:rowOff>175260</xdr:rowOff>
              </to>
            </anchor>
          </controlPr>
        </control>
      </mc:Choice>
      <mc:Fallback>
        <control name="Check Box 2" shapeId="7209" r:id="rId2"/>
      </mc:Fallback>
    </mc:AlternateContent>
    <mc:AlternateContent xmlns:mc="http://schemas.openxmlformats.org/markup-compatibility/2006">
      <mc:Choice Requires="x14">
        <control name="Check Box 5" shapeId="7210" r:id="rId3">
          <controlPr autoFill="0" autoLine="0" autoPict="0" defaultSize="0">
            <anchor sizeWithCells="1">
              <from>
                <xdr:col>5</xdr:col>
                <xdr:colOff>441959</xdr:colOff>
                <xdr:row>3</xdr:row>
                <xdr:rowOff>7620</xdr:rowOff>
              </from>
              <to>
                <xdr:col>5</xdr:col>
                <xdr:colOff>670560</xdr:colOff>
                <xdr:row>3</xdr:row>
                <xdr:rowOff>182880</xdr:rowOff>
              </to>
            </anchor>
          </controlPr>
        </control>
      </mc:Choice>
      <mc:Fallback>
        <control name="Check Box 5" shapeId="7210" r:id="rId3"/>
      </mc:Fallback>
    </mc:AlternateContent>
    <mc:AlternateContent xmlns:mc="http://schemas.openxmlformats.org/markup-compatibility/2006">
      <mc:Choice Requires="x14">
        <control name="Check Box 6" shapeId="7211" r:id="rId4">
          <controlPr autoFill="0" autoLine="0" autoPict="0" defaultSize="0">
            <anchor sizeWithCells="1">
              <from>
                <xdr:col>5</xdr:col>
                <xdr:colOff>441959</xdr:colOff>
                <xdr:row>4</xdr:row>
                <xdr:rowOff>7620</xdr:rowOff>
              </from>
              <to>
                <xdr:col>5</xdr:col>
                <xdr:colOff>670560</xdr:colOff>
                <xdr:row>4</xdr:row>
                <xdr:rowOff>182880</xdr:rowOff>
              </to>
            </anchor>
          </controlPr>
        </control>
      </mc:Choice>
      <mc:Fallback>
        <control name="Check Box 6" shapeId="7211" r:id="rId4"/>
      </mc:Fallback>
    </mc:AlternateContent>
    <mc:AlternateContent xmlns:mc="http://schemas.openxmlformats.org/markup-compatibility/2006">
      <mc:Choice Requires="x14">
        <control name="Check Box 7" shapeId="7212" r:id="rId5">
          <controlPr autoFill="0" autoLine="0" autoPict="0" defaultSize="0">
            <anchor sizeWithCells="1">
              <from>
                <xdr:col>5</xdr:col>
                <xdr:colOff>441959</xdr:colOff>
                <xdr:row>5</xdr:row>
                <xdr:rowOff>7620</xdr:rowOff>
              </from>
              <to>
                <xdr:col>5</xdr:col>
                <xdr:colOff>670560</xdr:colOff>
                <xdr:row>5</xdr:row>
                <xdr:rowOff>182880</xdr:rowOff>
              </to>
            </anchor>
          </controlPr>
        </control>
      </mc:Choice>
      <mc:Fallback>
        <control name="Check Box 7" shapeId="7212" r:id="rId5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60" workbookViewId="0">
      <selection activeCell="A2" activeCellId="0" sqref="A2"/>
    </sheetView>
  </sheetViews>
  <sheetFormatPr baseColWidth="10" defaultColWidth="9.21875" defaultRowHeight="14.4"/>
  <cols>
    <col customWidth="1" min="2" max="2" width="41.109375"/>
  </cols>
  <sheetData>
    <row r="1" s="2" customFormat="1" ht="34.950000000000003" customHeight="1">
      <c r="A1" s="3" t="s">
        <v>27</v>
      </c>
      <c r="B1" s="16"/>
    </row>
    <row r="2" ht="31.800000000000001">
      <c r="A2" s="5" t="s">
        <v>28</v>
      </c>
      <c r="B2" s="6" t="s">
        <v>29</v>
      </c>
    </row>
    <row r="3" ht="31.800000000000001">
      <c r="A3" s="14"/>
      <c r="B3" s="8" t="s">
        <v>30</v>
      </c>
    </row>
    <row r="4" ht="31.800000000000001">
      <c r="A4" s="5" t="s">
        <v>28</v>
      </c>
      <c r="B4" s="6" t="s">
        <v>31</v>
      </c>
    </row>
    <row r="5">
      <c r="A5" s="14"/>
      <c r="B5" s="8" t="s">
        <v>32</v>
      </c>
    </row>
    <row r="6">
      <c r="A6" s="14"/>
      <c r="B6" s="6" t="s">
        <v>33</v>
      </c>
    </row>
    <row r="7">
      <c r="A7" s="14"/>
      <c r="B7" s="8" t="s">
        <v>34</v>
      </c>
    </row>
    <row r="8" ht="21.600000000000001">
      <c r="A8" s="5" t="s">
        <v>28</v>
      </c>
      <c r="B8" s="6" t="s">
        <v>35</v>
      </c>
    </row>
    <row r="9">
      <c r="A9" s="7"/>
    </row>
  </sheetData>
  <sheetProtection algorithmName="SHA-512" hashValue="Tnsj2qJ+SMprxN6B10jown0gbrRjPDlqkPG4+WVBYMIxyYFyoe5ZgEQJ3qugE8Fr88oFOJflLZEwqEWKEJNQjA==" saltValue="aCyemOxv9mdJZlFYRDzlZw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5"/>
  <controls>
    <mc:AlternateContent xmlns:mc="http://schemas.openxmlformats.org/markup-compatibility/2006">
      <mc:Choice Requires="x14">
        <control name="Check Box 9" shapeId="8237" r:id="rId1">
          <controlPr autoFill="0" autoLine="0" autoPict="0" defaultSize="0">
            <anchor sizeWithCells="1">
              <from>
                <xdr:col>0</xdr:col>
                <xdr:colOff>198120</xdr:colOff>
                <xdr:row>1</xdr:row>
                <xdr:rowOff>381000</xdr:rowOff>
              </from>
              <to>
                <xdr:col>0</xdr:col>
                <xdr:colOff>502920</xdr:colOff>
                <xdr:row>3</xdr:row>
                <xdr:rowOff>22860</xdr:rowOff>
              </to>
            </anchor>
          </controlPr>
        </control>
      </mc:Choice>
      <mc:Fallback>
        <control name="Check Box 9" shapeId="8237" r:id="rId1"/>
      </mc:Fallback>
    </mc:AlternateContent>
    <mc:AlternateContent xmlns:mc="http://schemas.openxmlformats.org/markup-compatibility/2006">
      <mc:Choice Requires="x14">
        <control name="Check Box 10" shapeId="8238" r:id="rId2">
          <controlPr autoFill="0" autoLine="0" autoPict="0" defaultSize="0">
            <anchor sizeWithCells="1">
              <from>
                <xdr:col>0</xdr:col>
                <xdr:colOff>198120</xdr:colOff>
                <xdr:row>3</xdr:row>
                <xdr:rowOff>274320</xdr:rowOff>
              </from>
              <to>
                <xdr:col>0</xdr:col>
                <xdr:colOff>502920</xdr:colOff>
                <xdr:row>5</xdr:row>
                <xdr:rowOff>137160</xdr:rowOff>
              </to>
            </anchor>
          </controlPr>
        </control>
      </mc:Choice>
      <mc:Fallback>
        <control name="Check Box 10" shapeId="8238" r:id="rId2"/>
      </mc:Fallback>
    </mc:AlternateContent>
    <mc:AlternateContent xmlns:mc="http://schemas.openxmlformats.org/markup-compatibility/2006">
      <mc:Choice Requires="x14">
        <control name="Check Box 11" shapeId="8239" r:id="rId3">
          <controlPr autoFill="0" autoLine="0" autoPict="0" defaultSize="0">
            <anchor sizeWithCells="1">
              <from>
                <xdr:col>0</xdr:col>
                <xdr:colOff>213360</xdr:colOff>
                <xdr:row>4</xdr:row>
                <xdr:rowOff>60960</xdr:rowOff>
              </from>
              <to>
                <xdr:col>0</xdr:col>
                <xdr:colOff>518159</xdr:colOff>
                <xdr:row>6</xdr:row>
                <xdr:rowOff>137160</xdr:rowOff>
              </to>
            </anchor>
          </controlPr>
        </control>
      </mc:Choice>
      <mc:Fallback>
        <control name="Check Box 11" shapeId="8239" r:id="rId3"/>
      </mc:Fallback>
    </mc:AlternateContent>
    <mc:AlternateContent xmlns:mc="http://schemas.openxmlformats.org/markup-compatibility/2006">
      <mc:Choice Requires="x14">
        <control name="Check Box 12" shapeId="8240" r:id="rId4">
          <controlPr autoFill="0" autoLine="0" autoPict="0" defaultSize="0">
            <anchor sizeWithCells="1">
              <from>
                <xdr:col>0</xdr:col>
                <xdr:colOff>213360</xdr:colOff>
                <xdr:row>5</xdr:row>
                <xdr:rowOff>45720</xdr:rowOff>
              </from>
              <to>
                <xdr:col>0</xdr:col>
                <xdr:colOff>518159</xdr:colOff>
                <xdr:row>7</xdr:row>
                <xdr:rowOff>121920</xdr:rowOff>
              </to>
            </anchor>
          </controlPr>
        </control>
      </mc:Choice>
      <mc:Fallback>
        <control name="Check Box 12" shapeId="8240" r:id="rId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60" workbookViewId="0">
      <selection activeCell="D9" activeCellId="0" sqref="D9:D10"/>
    </sheetView>
  </sheetViews>
  <sheetFormatPr baseColWidth="10" defaultColWidth="9.21875" defaultRowHeight="14.4"/>
  <cols>
    <col bestFit="1" customWidth="1" min="1" max="1" width="31.88671875"/>
    <col customWidth="1" min="2" max="2" width="4.33203125"/>
  </cols>
  <sheetData>
    <row r="1" s="2" customFormat="1" ht="31.199999999999999" customHeight="1">
      <c r="A1" s="3" t="s">
        <v>36</v>
      </c>
    </row>
    <row r="2">
      <c r="A2" t="s">
        <v>28</v>
      </c>
      <c r="B2" s="1" t="s">
        <v>37</v>
      </c>
      <c r="C2" s="1"/>
      <c r="D2" s="1"/>
      <c r="E2" s="1"/>
      <c r="F2" s="1"/>
    </row>
    <row r="4">
      <c r="A4" t="s">
        <v>38</v>
      </c>
    </row>
    <row r="5" ht="25.199999999999999" customHeight="1">
      <c r="A5" s="17"/>
      <c r="B5" s="17"/>
      <c r="C5" s="18" t="s">
        <v>39</v>
      </c>
      <c r="D5" s="18" t="s">
        <v>40</v>
      </c>
    </row>
    <row r="6" ht="18" customHeight="1">
      <c r="A6" t="s">
        <v>41</v>
      </c>
      <c r="C6">
        <v>99</v>
      </c>
      <c r="D6" s="19">
        <v>102</v>
      </c>
    </row>
    <row r="7" ht="18" customHeight="1">
      <c r="A7" s="20" t="s">
        <v>42</v>
      </c>
      <c r="B7" s="21"/>
      <c r="C7" s="21">
        <v>-56</v>
      </c>
      <c r="D7" s="22">
        <v>-56</v>
      </c>
    </row>
    <row r="8" ht="18" customHeight="1">
      <c r="A8" s="23" t="s">
        <v>43</v>
      </c>
      <c r="C8">
        <f>SUM(C6:C7)</f>
        <v>43</v>
      </c>
      <c r="D8" s="24">
        <v>46</v>
      </c>
    </row>
    <row r="9" ht="18" customHeight="1">
      <c r="A9" s="25" t="s">
        <v>44</v>
      </c>
      <c r="B9" s="17"/>
      <c r="C9" s="17">
        <v>-24</v>
      </c>
      <c r="D9" s="19">
        <v>-24</v>
      </c>
    </row>
    <row r="10" ht="18" customHeight="1">
      <c r="A10" s="26" t="s">
        <v>45</v>
      </c>
      <c r="B10" s="27"/>
      <c r="C10" s="27">
        <v>-9</v>
      </c>
      <c r="D10" s="22">
        <v>-9</v>
      </c>
    </row>
    <row r="11" ht="18" customHeight="1">
      <c r="A11" s="28" t="s">
        <v>46</v>
      </c>
      <c r="B11" s="28"/>
      <c r="C11" s="28">
        <f>SUM(C8:C10)</f>
        <v>10</v>
      </c>
      <c r="D11" s="24">
        <v>13</v>
      </c>
    </row>
    <row r="12" ht="18" customHeight="1">
      <c r="A12" s="26" t="s">
        <v>47</v>
      </c>
      <c r="B12" s="27"/>
      <c r="C12" s="27">
        <v>-10</v>
      </c>
      <c r="D12" s="22">
        <v>-10</v>
      </c>
    </row>
    <row r="13" ht="18" customHeight="1">
      <c r="A13" s="28" t="s">
        <v>48</v>
      </c>
      <c r="B13" s="28"/>
      <c r="C13" s="28">
        <f>SUM(C11:C12)</f>
        <v>0</v>
      </c>
      <c r="D13" s="24">
        <v>3</v>
      </c>
    </row>
    <row r="14" ht="18" customHeight="1">
      <c r="A14" s="26" t="s">
        <v>49</v>
      </c>
      <c r="B14" s="27"/>
      <c r="C14" s="27">
        <v>0</v>
      </c>
      <c r="D14" s="22">
        <v>-1</v>
      </c>
    </row>
    <row r="15" ht="18" customHeight="1">
      <c r="A15" s="28" t="s">
        <v>50</v>
      </c>
      <c r="B15" s="28"/>
      <c r="C15" s="28">
        <v>0</v>
      </c>
      <c r="D15" s="24">
        <v>2</v>
      </c>
    </row>
    <row r="16" ht="15"/>
    <row r="18">
      <c r="B18" s="14"/>
      <c r="C18" s="1" t="s">
        <v>51</v>
      </c>
      <c r="D18" s="1"/>
      <c r="E18" s="1"/>
      <c r="F18" s="1"/>
      <c r="G18" s="1"/>
      <c r="H18" s="1"/>
    </row>
    <row r="19">
      <c r="B19" s="7"/>
      <c r="C19" s="1" t="s">
        <v>52</v>
      </c>
      <c r="D19" s="1"/>
      <c r="E19" s="1"/>
      <c r="F19" s="1"/>
      <c r="G19" s="1"/>
      <c r="H19" s="1"/>
    </row>
    <row r="20">
      <c r="B20" s="7"/>
      <c r="C20" s="1" t="s">
        <v>53</v>
      </c>
      <c r="D20" s="1"/>
      <c r="E20" s="1"/>
      <c r="F20" s="1"/>
      <c r="G20" s="1"/>
      <c r="H20" s="1"/>
    </row>
  </sheetData>
  <sheetProtection algorithmName="SHA-512" hashValue="Y1o+zrf+yKeixa/GuUo62yYxRsk7e8X2B+wx94AVODk1EzY63mdV3jQsmJGzzlBIyh3bwaEy2zpHUoONEmDFqg==" saltValue="oxza06OyLgMZjI7Sk8AKo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2"/>
  <legacyDrawing r:id="rId3"/>
  <controls>
    <mc:AlternateContent xmlns:mc="http://schemas.openxmlformats.org/markup-compatibility/2006">
      <mc:Choice Requires="x14">
        <control name="Check Box 1" shapeId="9265" r:id="rId1">
          <controlPr autoFill="0" autoLine="0" autoPict="0" defaultSize="0">
            <anchor sizeWithCells="1">
              <from>
                <xdr:col>1</xdr:col>
                <xdr:colOff>60960</xdr:colOff>
                <xdr:row>16</xdr:row>
                <xdr:rowOff>175260</xdr:rowOff>
              </from>
              <to>
                <xdr:col>1</xdr:col>
                <xdr:colOff>289560</xdr:colOff>
                <xdr:row>17</xdr:row>
                <xdr:rowOff>175260</xdr:rowOff>
              </to>
            </anchor>
          </controlPr>
        </control>
      </mc:Choice>
      <mc:Fallback>
        <control name="Check Box 1" shapeId="9265" r:id="rId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5" zoomScale="60" workbookViewId="0">
      <selection activeCell="D10" activeCellId="0" sqref="D10"/>
    </sheetView>
  </sheetViews>
  <sheetFormatPr baseColWidth="10" defaultColWidth="9.21875" defaultRowHeight="14.25"/>
  <cols>
    <col bestFit="1" customWidth="1" min="1" max="1" width="31.88671875"/>
    <col customWidth="1" min="2" max="2" width="8.109375"/>
  </cols>
  <sheetData>
    <row r="1" s="2" customFormat="1" ht="31.199999999999999" customHeight="1">
      <c r="A1" s="3" t="s">
        <v>54</v>
      </c>
    </row>
    <row r="2">
      <c r="A2" t="s">
        <v>28</v>
      </c>
      <c r="B2" s="1" t="s">
        <v>55</v>
      </c>
      <c r="C2" s="1"/>
      <c r="D2" s="1"/>
      <c r="E2" s="1"/>
      <c r="F2" s="1"/>
    </row>
    <row r="4">
      <c r="A4" s="29" t="s">
        <v>56</v>
      </c>
      <c r="B4" s="29"/>
      <c r="C4" s="29"/>
      <c r="D4" s="29"/>
    </row>
    <row r="5" ht="25.199999999999999" customHeight="1">
      <c r="A5" s="17" t="s">
        <v>57</v>
      </c>
      <c r="B5" s="17"/>
      <c r="C5" s="18" t="s">
        <v>39</v>
      </c>
      <c r="D5" s="18" t="s">
        <v>40</v>
      </c>
    </row>
    <row r="6" ht="18" customHeight="1">
      <c r="A6" t="s">
        <v>58</v>
      </c>
      <c r="C6">
        <v>10</v>
      </c>
      <c r="D6" s="19">
        <v>10</v>
      </c>
    </row>
    <row r="7" ht="18" customHeight="1">
      <c r="A7" s="17" t="s">
        <v>59</v>
      </c>
      <c r="B7" s="17"/>
      <c r="C7" s="17">
        <v>20</v>
      </c>
      <c r="D7" s="30">
        <v>19</v>
      </c>
      <c r="G7" s="27"/>
    </row>
    <row r="8" ht="18" customHeight="1">
      <c r="A8" t="s">
        <v>60</v>
      </c>
      <c r="C8">
        <v>20</v>
      </c>
      <c r="D8" s="30">
        <v>15</v>
      </c>
    </row>
    <row r="9" ht="18" customHeight="1">
      <c r="A9" s="21" t="s">
        <v>61</v>
      </c>
      <c r="B9" s="21"/>
      <c r="C9" s="31">
        <v>12</v>
      </c>
      <c r="D9" s="32">
        <v>9</v>
      </c>
    </row>
    <row r="10" ht="18" customHeight="1">
      <c r="A10" s="33" t="s">
        <v>62</v>
      </c>
      <c r="B10" s="27"/>
      <c r="C10" s="27">
        <f>SUM(C6:C9)</f>
        <v>62</v>
      </c>
      <c r="D10" s="14">
        <f>SUM(D6:D9)</f>
        <v>53</v>
      </c>
    </row>
    <row r="11" ht="18" customHeight="1">
      <c r="A11" s="34"/>
      <c r="B11" s="17"/>
      <c r="C11" s="17"/>
      <c r="D11" s="5"/>
    </row>
    <row r="12" ht="18" customHeight="1">
      <c r="A12" s="23" t="s">
        <v>63</v>
      </c>
      <c r="D12" s="35"/>
    </row>
    <row r="13" ht="18" customHeight="1">
      <c r="A13" s="25" t="s">
        <v>64</v>
      </c>
      <c r="B13" s="17"/>
      <c r="C13" s="17"/>
      <c r="D13" s="5"/>
    </row>
    <row r="14" ht="18" customHeight="1">
      <c r="A14" s="36" t="s">
        <v>65</v>
      </c>
      <c r="B14" s="37"/>
      <c r="C14" s="37">
        <v>9</v>
      </c>
      <c r="D14" s="24">
        <v>9</v>
      </c>
    </row>
    <row r="15" ht="18" customHeight="1">
      <c r="A15" s="17" t="s">
        <v>66</v>
      </c>
      <c r="B15" s="17"/>
      <c r="C15" s="17">
        <v>26</v>
      </c>
      <c r="D15" s="24">
        <v>26</v>
      </c>
    </row>
    <row r="16" ht="18" customHeight="1">
      <c r="A16" t="s">
        <v>67</v>
      </c>
      <c r="C16">
        <v>21</v>
      </c>
      <c r="D16" s="24">
        <v>21</v>
      </c>
    </row>
    <row r="17" ht="18" customHeight="1">
      <c r="A17" s="38" t="s">
        <v>68</v>
      </c>
      <c r="B17" s="39"/>
      <c r="C17" s="39">
        <v>25</v>
      </c>
      <c r="D17" s="19">
        <v>26</v>
      </c>
    </row>
    <row r="18" ht="18" customHeight="1">
      <c r="A18" s="40" t="s">
        <v>69</v>
      </c>
      <c r="B18" s="40"/>
      <c r="C18" s="41">
        <v>24</v>
      </c>
      <c r="D18" s="22">
        <v>35</v>
      </c>
    </row>
    <row r="19" ht="18" customHeight="1">
      <c r="A19" s="42" t="s">
        <v>70</v>
      </c>
      <c r="B19" s="17"/>
      <c r="C19" s="17">
        <f>SUM(C14:C18)</f>
        <v>105</v>
      </c>
      <c r="D19" s="43">
        <f>SUM(D14:D18)</f>
        <v>117</v>
      </c>
    </row>
    <row r="20" ht="18" customHeight="1">
      <c r="A20" s="44" t="s">
        <v>71</v>
      </c>
      <c r="B20" s="45"/>
      <c r="C20" s="45">
        <f>C10+C19</f>
        <v>167</v>
      </c>
      <c r="D20" s="46">
        <v>170</v>
      </c>
    </row>
    <row r="21" ht="15"/>
    <row r="22">
      <c r="A22" s="29" t="s">
        <v>72</v>
      </c>
      <c r="B22" s="29"/>
      <c r="C22" s="29"/>
      <c r="D22" s="29"/>
    </row>
    <row r="23" ht="15">
      <c r="A23" s="17" t="s">
        <v>73</v>
      </c>
      <c r="B23" s="17"/>
      <c r="C23" s="18"/>
      <c r="D23" s="18"/>
      <c r="E23" s="1"/>
      <c r="F23" s="1"/>
      <c r="G23" s="1"/>
      <c r="H23" s="1"/>
    </row>
    <row r="24" ht="15.6">
      <c r="A24" t="s">
        <v>74</v>
      </c>
      <c r="C24">
        <v>60</v>
      </c>
      <c r="D24" s="19">
        <v>60</v>
      </c>
      <c r="E24" s="1"/>
      <c r="F24" s="1"/>
      <c r="G24" s="1"/>
      <c r="H24" s="1"/>
    </row>
    <row r="25" ht="15.6">
      <c r="A25" s="17" t="s">
        <v>75</v>
      </c>
      <c r="B25" s="17"/>
      <c r="C25" s="17">
        <v>7</v>
      </c>
      <c r="D25" s="30">
        <v>7</v>
      </c>
      <c r="E25" s="1"/>
      <c r="F25" s="1"/>
      <c r="G25" s="1"/>
      <c r="H25" s="1"/>
    </row>
    <row r="26" ht="15">
      <c r="A26" s="27" t="s">
        <v>76</v>
      </c>
      <c r="B26" s="27"/>
      <c r="C26" s="27">
        <v>0</v>
      </c>
      <c r="D26" s="47">
        <v>2</v>
      </c>
    </row>
    <row r="27" ht="15">
      <c r="A27" s="48" t="s">
        <v>77</v>
      </c>
      <c r="B27" s="21"/>
      <c r="C27" s="31">
        <f>SUM(C24:C26)</f>
        <v>67</v>
      </c>
      <c r="D27" s="32">
        <v>69</v>
      </c>
    </row>
    <row r="28" ht="15">
      <c r="A28" s="26"/>
      <c r="B28" s="27"/>
      <c r="C28" s="27"/>
      <c r="D28" s="49"/>
    </row>
    <row r="29" ht="17.550000000000001" customHeight="1">
      <c r="A29" s="25" t="s">
        <v>78</v>
      </c>
      <c r="B29" s="17"/>
      <c r="C29" s="17"/>
      <c r="D29" s="43"/>
    </row>
    <row r="30" ht="17.550000000000001" customHeight="1">
      <c r="A30" s="23" t="s">
        <v>79</v>
      </c>
      <c r="C30">
        <v>100</v>
      </c>
      <c r="D30" s="24">
        <v>100</v>
      </c>
    </row>
    <row r="31" ht="17.550000000000001" customHeight="1">
      <c r="A31" s="20" t="s">
        <v>80</v>
      </c>
      <c r="B31" s="21"/>
      <c r="C31" s="31">
        <v>0</v>
      </c>
      <c r="D31" s="22">
        <v>1</v>
      </c>
    </row>
    <row r="32" ht="17.550000000000001" customHeight="1">
      <c r="A32" s="50" t="s">
        <v>81</v>
      </c>
      <c r="B32" s="51"/>
      <c r="C32" s="52">
        <f>SUM(C30:C31)</f>
        <v>100</v>
      </c>
      <c r="D32" s="53">
        <v>101</v>
      </c>
    </row>
    <row r="33" ht="17.550000000000001" customHeight="1">
      <c r="A33" s="54" t="s">
        <v>82</v>
      </c>
      <c r="B33" s="55"/>
      <c r="C33" s="55">
        <f>C27+C32</f>
        <v>167</v>
      </c>
      <c r="D33" s="56">
        <v>170</v>
      </c>
    </row>
    <row r="34" ht="15"/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D5" zoomScale="60" workbookViewId="0">
      <selection activeCell="K21" activeCellId="0" sqref="K21"/>
    </sheetView>
  </sheetViews>
  <sheetFormatPr baseColWidth="10" defaultColWidth="9.21875" defaultRowHeight="14.25"/>
  <cols>
    <col customWidth="1" min="1" max="1" width="10.33203125"/>
    <col customWidth="1" min="4" max="4" width="13.88671875"/>
    <col customWidth="1" min="5" max="5" width="15.33203125"/>
    <col customWidth="1" min="7" max="7" width="15"/>
    <col customWidth="1" min="8" max="8" width="17.33203125"/>
    <col customWidth="1" min="10" max="10" width="14.88671875"/>
    <col customWidth="1" min="11" max="11" width="14.5546875"/>
  </cols>
  <sheetData>
    <row r="1" s="2" customFormat="1" ht="27" customHeight="1">
      <c r="A1" s="3" t="s">
        <v>83</v>
      </c>
      <c r="B1" s="57"/>
    </row>
    <row r="2" s="58" customFormat="1" ht="27" customHeight="1">
      <c r="A2" s="59" t="s">
        <v>84</v>
      </c>
      <c r="B2" s="58" t="s">
        <v>85</v>
      </c>
    </row>
    <row r="3" s="58" customFormat="1" ht="22.5" customHeight="1">
      <c r="A3" s="60"/>
      <c r="B3" s="58" t="s">
        <v>86</v>
      </c>
    </row>
    <row r="4" s="58" customFormat="1" ht="22.5" customHeight="1">
      <c r="A4" s="60"/>
      <c r="B4" s="58" t="s">
        <v>87</v>
      </c>
    </row>
    <row r="5" ht="27" customHeight="1">
      <c r="A5" s="61"/>
    </row>
    <row r="6" ht="15">
      <c r="G6" s="62" t="s">
        <v>88</v>
      </c>
      <c r="H6" s="63"/>
    </row>
    <row r="7">
      <c r="A7" s="64" t="s">
        <v>41</v>
      </c>
      <c r="B7" s="65"/>
      <c r="G7" s="66" t="s">
        <v>39</v>
      </c>
      <c r="H7" s="67" t="s">
        <v>40</v>
      </c>
    </row>
    <row r="8" ht="15">
      <c r="A8" s="66" t="s">
        <v>39</v>
      </c>
      <c r="B8" s="67" t="s">
        <v>40</v>
      </c>
      <c r="G8" s="68">
        <f>G13/A9</f>
        <v>0.10101010101010101</v>
      </c>
      <c r="H8" s="69">
        <v>0.1275</v>
      </c>
    </row>
    <row r="9" ht="15">
      <c r="A9" s="70">
        <f>'Jahr 01_JA_GuV'!$C$6</f>
        <v>99</v>
      </c>
      <c r="B9" s="71">
        <v>102</v>
      </c>
      <c r="D9" s="64" t="s">
        <v>89</v>
      </c>
      <c r="E9" s="65"/>
    </row>
    <row r="10" ht="15">
      <c r="D10" s="66" t="s">
        <v>39</v>
      </c>
      <c r="E10" s="67" t="s">
        <v>40</v>
      </c>
    </row>
    <row r="11" ht="15">
      <c r="A11" s="64" t="s">
        <v>20</v>
      </c>
      <c r="B11" s="65"/>
      <c r="D11" s="70">
        <f>A9+A13</f>
        <v>43</v>
      </c>
      <c r="E11" s="71">
        <v>46</v>
      </c>
      <c r="G11" s="64" t="s">
        <v>90</v>
      </c>
      <c r="H11" s="65"/>
      <c r="J11" s="64" t="s">
        <v>91</v>
      </c>
      <c r="K11" s="65"/>
    </row>
    <row r="12" ht="15">
      <c r="A12" s="66" t="s">
        <v>39</v>
      </c>
      <c r="B12" s="67" t="s">
        <v>40</v>
      </c>
      <c r="G12" s="66" t="s">
        <v>39</v>
      </c>
      <c r="H12" s="67" t="s">
        <v>40</v>
      </c>
      <c r="J12" s="66" t="s">
        <v>39</v>
      </c>
      <c r="K12" s="67" t="s">
        <v>40</v>
      </c>
    </row>
    <row r="13" ht="15">
      <c r="A13" s="70">
        <f>'Jahr 01_JA_GuV'!$C$7</f>
        <v>-56</v>
      </c>
      <c r="B13" s="71">
        <v>-56</v>
      </c>
      <c r="D13" s="64" t="s">
        <v>92</v>
      </c>
      <c r="E13" s="65"/>
      <c r="G13" s="70">
        <f>'Jahr 01_JA_GuV'!$C$11</f>
        <v>10</v>
      </c>
      <c r="H13" s="71">
        <v>13</v>
      </c>
      <c r="J13" s="70">
        <f>'Jahr 01_JA_GuV'!$C$14+'Jahr 01_JA_GuV'!$C$12</f>
        <v>-10</v>
      </c>
      <c r="K13" s="71">
        <v>-11</v>
      </c>
    </row>
    <row r="14" ht="15">
      <c r="D14" s="66" t="s">
        <v>39</v>
      </c>
      <c r="E14" s="67" t="s">
        <v>40</v>
      </c>
    </row>
    <row r="15" ht="15">
      <c r="D15" s="70">
        <f>'Jahr 01_JA_GuV'!$C$9+'Jahr 01_JA_GuV'!$C$10</f>
        <v>-33</v>
      </c>
      <c r="E15" s="71">
        <v>-33</v>
      </c>
      <c r="J15" s="64" t="s">
        <v>93</v>
      </c>
      <c r="K15" s="65"/>
    </row>
    <row r="16">
      <c r="J16" s="66" t="s">
        <v>39</v>
      </c>
      <c r="K16" s="67" t="s">
        <v>40</v>
      </c>
    </row>
    <row r="17" ht="15">
      <c r="J17" s="70">
        <f>G13+J13</f>
        <v>0</v>
      </c>
      <c r="K17" s="71">
        <v>2</v>
      </c>
    </row>
    <row r="18" ht="15">
      <c r="A18" s="64" t="s">
        <v>57</v>
      </c>
      <c r="B18" s="65"/>
      <c r="G18" s="62" t="s">
        <v>94</v>
      </c>
      <c r="H18" s="63"/>
    </row>
    <row r="19">
      <c r="A19" s="66" t="s">
        <v>39</v>
      </c>
      <c r="B19" s="67" t="s">
        <v>40</v>
      </c>
      <c r="G19" s="66" t="s">
        <v>39</v>
      </c>
      <c r="H19" s="67" t="s">
        <v>40</v>
      </c>
      <c r="J19" s="62" t="s">
        <v>95</v>
      </c>
      <c r="K19" s="63"/>
    </row>
    <row r="20" ht="15">
      <c r="A20" s="70">
        <f>'Jahr 01_JA_Bil'!C10</f>
        <v>62</v>
      </c>
      <c r="B20" s="71">
        <v>53</v>
      </c>
      <c r="G20" s="68">
        <f>G13/D26</f>
        <v>0.059880239520958084</v>
      </c>
      <c r="H20" s="72">
        <v>0.076499999999999999</v>
      </c>
      <c r="J20" s="66" t="s">
        <v>39</v>
      </c>
      <c r="K20" s="67" t="s">
        <v>40</v>
      </c>
    </row>
    <row r="21" ht="15">
      <c r="J21" s="70">
        <f>'Jahr 01_JA_Bil'!C22</f>
        <v>0</v>
      </c>
      <c r="K21" s="69">
        <v>0.029000000000000001</v>
      </c>
    </row>
    <row r="22">
      <c r="A22" s="64" t="s">
        <v>96</v>
      </c>
      <c r="B22" s="65"/>
    </row>
    <row r="23" ht="15">
      <c r="A23" s="66" t="s">
        <v>39</v>
      </c>
      <c r="B23" s="67" t="s">
        <v>40</v>
      </c>
    </row>
    <row r="24" ht="15">
      <c r="A24" s="70">
        <f>'Jahr 01_JA_Bil'!C14+'Jahr 01_JA_Bil'!C15+'Jahr 01_JA_Bil'!C16</f>
        <v>56</v>
      </c>
      <c r="B24" s="71">
        <v>56</v>
      </c>
      <c r="D24" s="64" t="s">
        <v>97</v>
      </c>
      <c r="E24" s="65"/>
      <c r="J24" s="64" t="s">
        <v>73</v>
      </c>
      <c r="K24" s="65"/>
    </row>
    <row r="25" ht="15">
      <c r="D25" s="66" t="s">
        <v>39</v>
      </c>
      <c r="E25" s="67" t="s">
        <v>40</v>
      </c>
      <c r="J25" s="66" t="s">
        <v>39</v>
      </c>
      <c r="K25" s="67" t="s">
        <v>40</v>
      </c>
    </row>
    <row r="26" ht="15">
      <c r="A26" s="64" t="s">
        <v>98</v>
      </c>
      <c r="B26" s="65"/>
      <c r="D26" s="70">
        <f>A20+A24+A28+A32</f>
        <v>167</v>
      </c>
      <c r="E26" s="71">
        <v>170</v>
      </c>
      <c r="J26" s="70">
        <f>'Jahr 01_JA_Bil'!C27</f>
        <v>67</v>
      </c>
      <c r="K26" s="71">
        <v>69</v>
      </c>
    </row>
    <row r="27" ht="15">
      <c r="A27" s="66" t="s">
        <v>39</v>
      </c>
      <c r="B27" s="67" t="s">
        <v>40</v>
      </c>
    </row>
    <row r="28" ht="15">
      <c r="A28" s="70">
        <f>'Jahr 01_JA_Bil'!C17</f>
        <v>25</v>
      </c>
      <c r="B28" s="71">
        <v>26</v>
      </c>
      <c r="J28" s="64" t="s">
        <v>78</v>
      </c>
      <c r="K28" s="65"/>
    </row>
    <row r="29" ht="15">
      <c r="J29" s="66" t="s">
        <v>39</v>
      </c>
      <c r="K29" s="67" t="s">
        <v>40</v>
      </c>
    </row>
    <row r="30" ht="15">
      <c r="A30" s="64" t="s">
        <v>99</v>
      </c>
      <c r="B30" s="65"/>
      <c r="J30" s="70">
        <f>'Jahr 01_JA_Bil'!C32</f>
        <v>100</v>
      </c>
      <c r="K30" s="71">
        <v>101</v>
      </c>
    </row>
    <row r="31">
      <c r="A31" s="66" t="s">
        <v>39</v>
      </c>
      <c r="B31" s="67" t="s">
        <v>40</v>
      </c>
    </row>
    <row r="32" ht="15">
      <c r="A32" s="70">
        <f>'Jahr 01_JA_Bil'!C18</f>
        <v>24</v>
      </c>
      <c r="B32" s="71">
        <v>35</v>
      </c>
    </row>
    <row r="33">
      <c r="E33" s="73" t="s">
        <v>100</v>
      </c>
      <c r="F33" s="73"/>
      <c r="G33" s="73"/>
      <c r="H33" s="73"/>
      <c r="I33" s="73"/>
    </row>
    <row r="34">
      <c r="E34" s="73" t="s">
        <v>101</v>
      </c>
      <c r="F34" s="73"/>
      <c r="G34" s="73"/>
      <c r="H34" s="73"/>
      <c r="I34" s="73"/>
    </row>
    <row r="35">
      <c r="E35" s="73" t="s">
        <v>102</v>
      </c>
      <c r="F35" s="73"/>
      <c r="G35" s="73"/>
      <c r="H35" s="73"/>
      <c r="I35" s="73"/>
    </row>
  </sheetData>
  <sheetProtection algorithmName="SHA-512" hashValue="hQdQK1mFZPUP+cHqTVhr7/md2c6gFgh6dDjrosoqXpBoVBmIPa5wkgypjL08qAZQZCZIf4fESKNt+9Vrp4GzXw==" saltValue="bdrVjYeWwBsqA6q5DVz29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7">
    <mergeCell ref="G6:H6"/>
    <mergeCell ref="A7:B7"/>
    <mergeCell ref="D9:E9"/>
    <mergeCell ref="A11:B11"/>
    <mergeCell ref="G11:H11"/>
    <mergeCell ref="J11:K11"/>
    <mergeCell ref="D13:E13"/>
    <mergeCell ref="J15:K15"/>
    <mergeCell ref="A18:B18"/>
    <mergeCell ref="G18:H18"/>
    <mergeCell ref="J19:K19"/>
    <mergeCell ref="A22:B22"/>
    <mergeCell ref="D24:E24"/>
    <mergeCell ref="J24:K24"/>
    <mergeCell ref="A26:B26"/>
    <mergeCell ref="J28:K28"/>
    <mergeCell ref="A30:B30"/>
  </mergeCells>
  <printOptions headings="0" gridLines="0"/>
  <pageMargins left="0.69999999999999996" right="0.69999999999999996" top="0.75" bottom="0.75" header="0.29999999999999999" footer="0.29999999999999999"/>
  <pageSetup paperSize="9" scale="84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  <controls>
    <mc:AlternateContent xmlns:mc="http://schemas.openxmlformats.org/markup-compatibility/2006">
      <mc:Choice Requires="x14">
        <control name="Check Box 1" shapeId="11314" r:id="rId1">
          <controlPr autoFill="0" autoLine="0" autoPict="0" defaultSize="0">
            <anchor sizeWithCells="1">
              <from>
                <xdr:col>0</xdr:col>
                <xdr:colOff>266700</xdr:colOff>
                <xdr:row>2</xdr:row>
                <xdr:rowOff>22860</xdr:rowOff>
              </from>
              <to>
                <xdr:col>0</xdr:col>
                <xdr:colOff>487680</xdr:colOff>
                <xdr:row>3</xdr:row>
                <xdr:rowOff>38100</xdr:rowOff>
              </to>
            </anchor>
          </controlPr>
        </control>
      </mc:Choice>
      <mc:Fallback>
        <control name="Check Box 1" shapeId="11314" r:id="rId1"/>
      </mc:Fallback>
    </mc:AlternateContent>
    <mc:AlternateContent xmlns:mc="http://schemas.openxmlformats.org/markup-compatibility/2006">
      <mc:Choice Requires="x14">
        <control name="Check Box 2" shapeId="11315" r:id="rId2">
          <controlPr autoFill="0" autoLine="0" autoPict="0" defaultSize="0">
            <anchor sizeWithCells="1">
              <from>
                <xdr:col>0</xdr:col>
                <xdr:colOff>274320</xdr:colOff>
                <xdr:row>2</xdr:row>
                <xdr:rowOff>274320</xdr:rowOff>
              </from>
              <to>
                <xdr:col>0</xdr:col>
                <xdr:colOff>495299</xdr:colOff>
                <xdr:row>4</xdr:row>
                <xdr:rowOff>7620</xdr:rowOff>
              </to>
            </anchor>
          </controlPr>
        </control>
      </mc:Choice>
      <mc:Fallback>
        <control name="Check Box 2" shapeId="11315" r:id="rId2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60" workbookViewId="0">
      <selection activeCell="D6" activeCellId="0" sqref="D6"/>
    </sheetView>
  </sheetViews>
  <sheetFormatPr baseColWidth="10" defaultColWidth="9.21875" defaultRowHeight="14.4"/>
  <cols>
    <col customWidth="1" min="3" max="3" width="42.88671875"/>
  </cols>
  <sheetData>
    <row r="1" s="2" customFormat="1" ht="30" customHeight="1">
      <c r="A1" s="3" t="s">
        <v>103</v>
      </c>
      <c r="B1" s="57"/>
      <c r="C1" s="57"/>
      <c r="D1" s="57"/>
    </row>
    <row r="2" ht="30" customHeight="1">
      <c r="A2" s="61"/>
    </row>
    <row r="3" ht="30" customHeight="1">
      <c r="A3" s="59" t="s">
        <v>28</v>
      </c>
      <c r="B3" s="58" t="s">
        <v>104</v>
      </c>
      <c r="C3" s="58"/>
      <c r="D3" s="58"/>
    </row>
    <row r="4" ht="16.199999999999999" customHeight="1">
      <c r="A4" s="59"/>
      <c r="B4" s="58" t="s">
        <v>105</v>
      </c>
      <c r="C4" s="58"/>
      <c r="D4" s="58"/>
    </row>
    <row r="5" ht="15">
      <c r="D5" t="s">
        <v>40</v>
      </c>
    </row>
    <row r="6" ht="16.949999999999999" customHeight="1">
      <c r="A6" s="17">
        <v>1</v>
      </c>
      <c r="B6" s="17"/>
      <c r="C6" s="17" t="s">
        <v>106</v>
      </c>
      <c r="D6" s="19">
        <v>2</v>
      </c>
    </row>
    <row r="7" ht="16.949999999999999" customHeight="1">
      <c r="A7">
        <v>2</v>
      </c>
      <c r="C7" t="s">
        <v>107</v>
      </c>
      <c r="D7" s="19">
        <v>9</v>
      </c>
    </row>
    <row r="8" ht="16.949999999999999" customHeight="1">
      <c r="A8" s="17">
        <v>3</v>
      </c>
      <c r="B8" s="17"/>
      <c r="C8" s="17" t="s">
        <v>108</v>
      </c>
      <c r="D8" s="19">
        <v>0</v>
      </c>
    </row>
    <row r="9" ht="16.949999999999999" customHeight="1">
      <c r="C9" t="s">
        <v>109</v>
      </c>
      <c r="D9" s="19">
        <v>0</v>
      </c>
    </row>
    <row r="10" ht="16.949999999999999" customHeight="1">
      <c r="A10" s="17">
        <v>4</v>
      </c>
      <c r="B10" s="17"/>
      <c r="C10" s="17" t="s">
        <v>110</v>
      </c>
      <c r="D10" s="19">
        <v>1</v>
      </c>
    </row>
    <row r="11" ht="16.949999999999999" customHeight="1">
      <c r="C11" t="s">
        <v>111</v>
      </c>
      <c r="D11" s="19">
        <v>0</v>
      </c>
    </row>
    <row r="12" ht="16.949999999999999" customHeight="1">
      <c r="A12" s="17">
        <v>5</v>
      </c>
      <c r="B12" s="17"/>
      <c r="C12" s="17" t="s">
        <v>112</v>
      </c>
      <c r="D12" s="19">
        <v>1</v>
      </c>
    </row>
    <row r="13" ht="16.949999999999999" customHeight="1">
      <c r="A13" s="74"/>
      <c r="B13" s="74"/>
      <c r="C13" s="75" t="s">
        <v>113</v>
      </c>
      <c r="D13" s="76">
        <v>0</v>
      </c>
    </row>
    <row r="14" ht="16.949999999999999" customHeight="1">
      <c r="A14" s="28">
        <v>6</v>
      </c>
      <c r="B14" s="28"/>
      <c r="C14" s="28" t="s">
        <v>114</v>
      </c>
      <c r="D14" s="24">
        <f>D6+D7-D8+D9-D10+D11+D12-D13</f>
        <v>11</v>
      </c>
    </row>
    <row r="15" ht="16.949999999999999" customHeight="1">
      <c r="A15">
        <v>7</v>
      </c>
      <c r="C15" t="s">
        <v>115</v>
      </c>
      <c r="D15" s="19">
        <v>0</v>
      </c>
    </row>
    <row r="16" ht="16.949999999999999" customHeight="1">
      <c r="A16" s="21">
        <v>8</v>
      </c>
      <c r="B16" s="21"/>
      <c r="C16" s="31" t="s">
        <v>116</v>
      </c>
      <c r="D16" s="76">
        <v>0</v>
      </c>
    </row>
    <row r="17" ht="16.949999999999999" customHeight="1">
      <c r="A17">
        <v>9</v>
      </c>
      <c r="C17" t="s">
        <v>117</v>
      </c>
      <c r="D17" s="24">
        <f>-D15+D16</f>
        <v>0</v>
      </c>
    </row>
    <row r="18" ht="16.949999999999999" customHeight="1">
      <c r="A18">
        <v>10</v>
      </c>
      <c r="C18" t="s">
        <v>118</v>
      </c>
      <c r="D18" s="19">
        <v>0</v>
      </c>
    </row>
    <row r="19" ht="16.949999999999999" customHeight="1">
      <c r="C19" t="s">
        <v>113</v>
      </c>
      <c r="D19" s="19">
        <v>0</v>
      </c>
    </row>
    <row r="20" ht="16.949999999999999" customHeight="1">
      <c r="A20">
        <v>12</v>
      </c>
      <c r="C20" t="s">
        <v>119</v>
      </c>
      <c r="D20" s="19">
        <v>0</v>
      </c>
    </row>
    <row r="21" ht="16.949999999999999" customHeight="1">
      <c r="A21" s="74">
        <v>13</v>
      </c>
      <c r="B21" s="74"/>
      <c r="C21" s="75" t="s">
        <v>120</v>
      </c>
      <c r="D21" s="76">
        <v>0</v>
      </c>
    </row>
    <row r="22" ht="16.949999999999999" customHeight="1">
      <c r="A22" s="77">
        <v>14</v>
      </c>
      <c r="B22" s="77"/>
      <c r="C22" s="78" t="s">
        <v>121</v>
      </c>
      <c r="D22" s="79">
        <f>D18-D19+D20-D21</f>
        <v>0</v>
      </c>
    </row>
    <row r="23" ht="16.949999999999999" customHeight="1">
      <c r="A23">
        <v>15</v>
      </c>
      <c r="C23" t="s">
        <v>122</v>
      </c>
      <c r="D23" s="24">
        <f>D14+D17+D22</f>
        <v>11</v>
      </c>
    </row>
    <row r="24" ht="15"/>
    <row r="26">
      <c r="B26" t="s">
        <v>123</v>
      </c>
    </row>
    <row r="27">
      <c r="B27" t="s">
        <v>124</v>
      </c>
    </row>
  </sheetData>
  <sheetProtection algorithmName="SHA-512" hashValue="Ov2kgaWqMHaX8s/Fhv4T1RH6AoYz39B95Tfwhgk9u1HCRCnZ1yLhqrTYiuNLtf1W8zTWEDzn/r5X/o+qJOHUzQ==" saltValue="ywy8kvIS7mJK9+kwGifho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99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2</cp:revision>
  <dcterms:created xsi:type="dcterms:W3CDTF">2024-01-02T08:45:53Z</dcterms:created>
  <dcterms:modified xsi:type="dcterms:W3CDTF">2026-01-12T13:39:51Z</dcterms:modified>
</cp:coreProperties>
</file>
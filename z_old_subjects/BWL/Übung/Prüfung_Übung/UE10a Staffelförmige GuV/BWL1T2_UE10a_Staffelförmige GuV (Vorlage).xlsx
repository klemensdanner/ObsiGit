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me\Documents\ObsiGit\ObsiGit\BWL\Übung\Prüfung_Übung\UE10a Staffelförmige GuV\"/>
    </mc:Choice>
  </mc:AlternateContent>
  <xr:revisionPtr revIDLastSave="0" documentId="13_ncr:1_{7BD52779-469B-42A9-AEA0-BCB6E4FE1A1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6" i="1"/>
  <c r="C13" i="1"/>
  <c r="C12" i="1"/>
  <c r="B9" i="1"/>
  <c r="C8" i="1"/>
  <c r="G8" i="1"/>
</calcChain>
</file>

<file path=xl/sharedStrings.xml><?xml version="1.0" encoding="utf-8"?>
<sst xmlns="http://schemas.openxmlformats.org/spreadsheetml/2006/main" count="27" uniqueCount="27">
  <si>
    <t>Staffelförmige GuV-Rechnung</t>
  </si>
  <si>
    <t>Umsatzerlöse</t>
  </si>
  <si>
    <t>- Materialaufwand</t>
  </si>
  <si>
    <t>- Personalaufwand</t>
  </si>
  <si>
    <t>- Abschreibungen</t>
  </si>
  <si>
    <t>[1]</t>
  </si>
  <si>
    <t>[2]</t>
  </si>
  <si>
    <t>[3]</t>
  </si>
  <si>
    <t>[4]</t>
  </si>
  <si>
    <t>Betriebsergebnis oder Earnings before Interest and Taxes (EBIT)</t>
  </si>
  <si>
    <t>- Zinsaufwendungen</t>
  </si>
  <si>
    <t>+ Erträge aus Beteiligungen</t>
  </si>
  <si>
    <t>+ Erträge aus dem Verkauf von Wertpapieren</t>
  </si>
  <si>
    <t>Finanzergebnis</t>
  </si>
  <si>
    <t>Ergebnis der gewöhnlichen Geschäftstätigkeit</t>
  </si>
  <si>
    <t>[2]+[3]</t>
  </si>
  <si>
    <t>+ Erlöse aus Anlagenverkauf</t>
  </si>
  <si>
    <t>Außerordentliches Ergebnis</t>
  </si>
  <si>
    <t>[2]+[3]+[4]</t>
  </si>
  <si>
    <t>Jahresergebnis vor Steuern</t>
  </si>
  <si>
    <t>[5]</t>
  </si>
  <si>
    <t>- Körperschaftssteuer (24%)</t>
  </si>
  <si>
    <t>Jahresergebnis nach  Steuern</t>
  </si>
  <si>
    <t>ROS</t>
  </si>
  <si>
    <t>Ausschüttung des Gewinnes</t>
  </si>
  <si>
    <t>BWL1T2_UE10a</t>
  </si>
  <si>
    <t>- Außerordentliche Aufwendungen (Rückstellung)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</si>
</sst>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5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3" fillId="3" borderId="0" xfId="0" applyFont="1" applyFill="1"/>
    <xf numFmtId="44" fontId="3" fillId="0" borderId="0" xfId="1" applyFont="1"/>
    <xf numFmtId="0" fontId="3" fillId="4" borderId="0" xfId="0" applyFont="1" applyFill="1"/>
    <xf numFmtId="0" fontId="3" fillId="2" borderId="0" xfId="0" applyFont="1" applyFill="1"/>
    <xf numFmtId="44" fontId="2" fillId="0" borderId="1" xfId="1" applyFont="1" applyFill="1" applyBorder="1"/>
    <xf numFmtId="44" fontId="2" fillId="0" borderId="0" xfId="1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9" fontId="2" fillId="0" borderId="0" xfId="2" applyFont="1"/>
    <xf numFmtId="44" fontId="3" fillId="0" borderId="0" xfId="1" applyFont="1" applyFill="1"/>
    <xf numFmtId="0" fontId="3" fillId="0" borderId="0" xfId="0" quotePrefix="1" applyFont="1"/>
    <xf numFmtId="0" fontId="3" fillId="0" borderId="1" xfId="0" quotePrefix="1" applyFont="1" applyBorder="1"/>
    <xf numFmtId="44" fontId="3" fillId="0" borderId="1" xfId="1" applyFont="1" applyFill="1" applyBorder="1"/>
    <xf numFmtId="44" fontId="3" fillId="3" borderId="0" xfId="1" applyFont="1" applyFill="1"/>
    <xf numFmtId="0" fontId="3" fillId="3" borderId="0" xfId="0" applyFont="1" applyFill="1" applyAlignment="1">
      <alignment horizontal="center"/>
    </xf>
    <xf numFmtId="0" fontId="3" fillId="3" borderId="0" xfId="0" quotePrefix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44" fontId="3" fillId="4" borderId="0" xfId="1" applyFont="1" applyFill="1"/>
    <xf numFmtId="0" fontId="3" fillId="4" borderId="0" xfId="0" applyFont="1" applyFill="1" applyAlignment="1">
      <alignment horizontal="center"/>
    </xf>
    <xf numFmtId="44" fontId="3" fillId="0" borderId="0" xfId="1" applyFont="1" applyFill="1" applyBorder="1"/>
    <xf numFmtId="44" fontId="3" fillId="4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44" fontId="3" fillId="2" borderId="0" xfId="1" applyFont="1" applyFill="1"/>
    <xf numFmtId="0" fontId="3" fillId="3" borderId="1" xfId="0" quotePrefix="1" applyFont="1" applyFill="1" applyBorder="1"/>
    <xf numFmtId="44" fontId="3" fillId="3" borderId="1" xfId="1" applyFont="1" applyFill="1" applyBorder="1"/>
    <xf numFmtId="44" fontId="3" fillId="0" borderId="1" xfId="0" applyNumberFormat="1" applyFont="1" applyBorder="1"/>
    <xf numFmtId="44" fontId="2" fillId="5" borderId="2" xfId="1" applyFont="1" applyFill="1" applyBorder="1"/>
    <xf numFmtId="0" fontId="2" fillId="5" borderId="0" xfId="0" applyFont="1" applyFill="1" applyAlignment="1">
      <alignment horizont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158804</xdr:colOff>
      <xdr:row>1</xdr:row>
      <xdr:rowOff>207149</xdr:rowOff>
    </xdr:from>
    <xdr:to>
      <xdr:col>17</xdr:col>
      <xdr:colOff>154201</xdr:colOff>
      <xdr:row>20</xdr:row>
      <xdr:rowOff>201824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9828013-DF9B-7C03-0FC7-D0963E33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0938" y="444074"/>
          <a:ext cx="7679431" cy="4496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85" zoomScaleNormal="85" workbookViewId="0">
      <selection activeCell="D24" sqref="D24"/>
    </sheetView>
  </sheetViews>
  <sheetFormatPr baseColWidth="10" defaultColWidth="9.07421875" defaultRowHeight="18.45" x14ac:dyDescent="0.5"/>
  <cols>
    <col min="1" max="1" width="71" style="3" customWidth="1"/>
    <col min="2" max="2" width="21.07421875" style="3" customWidth="1"/>
    <col min="3" max="3" width="20" style="3" bestFit="1" customWidth="1"/>
    <col min="4" max="4" width="19.921875" style="4" customWidth="1"/>
    <col min="5" max="5" width="11.53515625" style="3" customWidth="1"/>
    <col min="6" max="16384" width="9.07421875" style="3"/>
  </cols>
  <sheetData>
    <row r="1" spans="1:7" x14ac:dyDescent="0.5">
      <c r="A1" s="3" t="s">
        <v>25</v>
      </c>
    </row>
    <row r="2" spans="1:7" x14ac:dyDescent="0.5">
      <c r="A2" s="5" t="s">
        <v>0</v>
      </c>
      <c r="B2" s="5"/>
    </row>
    <row r="4" spans="1:7" x14ac:dyDescent="0.5">
      <c r="A4" s="6" t="s">
        <v>1</v>
      </c>
      <c r="B4" s="6"/>
      <c r="C4" s="19">
        <v>1500000</v>
      </c>
      <c r="D4" s="20" t="s">
        <v>5</v>
      </c>
      <c r="E4" s="6"/>
    </row>
    <row r="5" spans="1:7" x14ac:dyDescent="0.5">
      <c r="A5" s="16" t="s">
        <v>2</v>
      </c>
      <c r="B5" s="15">
        <v>300000</v>
      </c>
      <c r="C5" s="2"/>
      <c r="D5" s="12"/>
    </row>
    <row r="6" spans="1:7" x14ac:dyDescent="0.5">
      <c r="A6" s="21" t="s">
        <v>3</v>
      </c>
      <c r="B6" s="19">
        <v>300000</v>
      </c>
      <c r="C6" s="22"/>
      <c r="D6" s="23"/>
      <c r="E6" s="6"/>
    </row>
    <row r="7" spans="1:7" x14ac:dyDescent="0.5">
      <c r="A7" s="17" t="s">
        <v>4</v>
      </c>
      <c r="B7" s="18">
        <v>200000</v>
      </c>
      <c r="C7" s="2"/>
      <c r="D7" s="12"/>
    </row>
    <row r="8" spans="1:7" x14ac:dyDescent="0.5">
      <c r="A8" s="8" t="s">
        <v>9</v>
      </c>
      <c r="B8" s="24"/>
      <c r="C8" s="25">
        <f>C4-B5-B6-B7</f>
        <v>700000</v>
      </c>
      <c r="D8" s="26" t="s">
        <v>6</v>
      </c>
      <c r="E8" s="8"/>
      <c r="F8" s="2" t="s">
        <v>23</v>
      </c>
      <c r="G8" s="14">
        <f>C8/C4</f>
        <v>0.46666666666666667</v>
      </c>
    </row>
    <row r="9" spans="1:7" x14ac:dyDescent="0.5">
      <c r="A9" s="16" t="s">
        <v>10</v>
      </c>
      <c r="B9" s="27">
        <f>1000000*0.05</f>
        <v>50000</v>
      </c>
      <c r="C9" s="15"/>
    </row>
    <row r="10" spans="1:7" x14ac:dyDescent="0.5">
      <c r="A10" s="21" t="s">
        <v>11</v>
      </c>
      <c r="B10" s="19">
        <v>5000</v>
      </c>
      <c r="C10" s="19"/>
      <c r="D10" s="20"/>
      <c r="E10" s="6"/>
    </row>
    <row r="11" spans="1:7" x14ac:dyDescent="0.5">
      <c r="A11" s="17" t="s">
        <v>12</v>
      </c>
      <c r="B11" s="18">
        <v>15000</v>
      </c>
      <c r="C11" s="10"/>
      <c r="D11" s="12"/>
    </row>
    <row r="12" spans="1:7" x14ac:dyDescent="0.5">
      <c r="A12" s="8" t="s">
        <v>13</v>
      </c>
      <c r="B12" s="24"/>
      <c r="C12" s="28">
        <f>-B9+B10+B11</f>
        <v>-30000</v>
      </c>
      <c r="D12" s="26" t="s">
        <v>7</v>
      </c>
      <c r="E12" s="8"/>
    </row>
    <row r="13" spans="1:7" x14ac:dyDescent="0.5">
      <c r="A13" s="9" t="s">
        <v>14</v>
      </c>
      <c r="B13" s="29"/>
      <c r="C13" s="31">
        <f>C8+C12</f>
        <v>670000</v>
      </c>
      <c r="D13" s="30" t="s">
        <v>15</v>
      </c>
      <c r="E13" s="9"/>
    </row>
    <row r="14" spans="1:7" x14ac:dyDescent="0.5">
      <c r="A14" s="16" t="s">
        <v>26</v>
      </c>
      <c r="B14" s="27">
        <v>30000</v>
      </c>
      <c r="C14" s="15"/>
    </row>
    <row r="15" spans="1:7" x14ac:dyDescent="0.5">
      <c r="A15" s="32" t="s">
        <v>16</v>
      </c>
      <c r="B15" s="33">
        <v>50000</v>
      </c>
      <c r="C15" s="33"/>
      <c r="D15" s="20"/>
      <c r="E15" s="6"/>
    </row>
    <row r="16" spans="1:7" x14ac:dyDescent="0.5">
      <c r="A16" s="8" t="s">
        <v>17</v>
      </c>
      <c r="B16" s="8"/>
      <c r="C16" s="28">
        <f>-B14+B15</f>
        <v>20000</v>
      </c>
      <c r="D16" s="26" t="s">
        <v>8</v>
      </c>
      <c r="E16" s="8"/>
    </row>
    <row r="17" spans="1:5" x14ac:dyDescent="0.5">
      <c r="A17" s="2"/>
      <c r="B17" s="2"/>
      <c r="C17" s="13"/>
      <c r="D17" s="12"/>
    </row>
    <row r="18" spans="1:5" x14ac:dyDescent="0.5">
      <c r="A18" s="9" t="s">
        <v>19</v>
      </c>
      <c r="B18" s="9"/>
      <c r="C18" s="31">
        <f>C8+C12+C16</f>
        <v>690000</v>
      </c>
      <c r="D18" s="30" t="s">
        <v>18</v>
      </c>
      <c r="E18" s="9"/>
    </row>
    <row r="19" spans="1:5" x14ac:dyDescent="0.5">
      <c r="A19" s="17" t="s">
        <v>21</v>
      </c>
      <c r="B19" s="34"/>
      <c r="C19" s="18">
        <f>C18*0.24</f>
        <v>165600</v>
      </c>
    </row>
    <row r="20" spans="1:5" s="2" customFormat="1" ht="18.899999999999999" thickBot="1" x14ac:dyDescent="0.55000000000000004">
      <c r="A20" s="1" t="s">
        <v>22</v>
      </c>
      <c r="B20" s="1"/>
      <c r="C20" s="35">
        <f>C18-C19</f>
        <v>524400</v>
      </c>
      <c r="D20" s="36" t="s">
        <v>20</v>
      </c>
      <c r="E20" s="1"/>
    </row>
    <row r="21" spans="1:5" ht="18.899999999999999" thickTop="1" x14ac:dyDescent="0.5">
      <c r="A21" s="2"/>
      <c r="B21" s="2"/>
      <c r="C21" s="11"/>
    </row>
    <row r="22" spans="1:5" x14ac:dyDescent="0.5">
      <c r="A22" s="2"/>
      <c r="B22" s="2"/>
      <c r="C22" s="11"/>
    </row>
    <row r="23" spans="1:5" x14ac:dyDescent="0.5">
      <c r="A23" s="2" t="s">
        <v>24</v>
      </c>
      <c r="B23" s="2"/>
      <c r="C23" s="11">
        <v>200000</v>
      </c>
    </row>
    <row r="24" spans="1:5" x14ac:dyDescent="0.5">
      <c r="C24" s="7"/>
    </row>
    <row r="25" spans="1:5" x14ac:dyDescent="0.5">
      <c r="C25" s="7"/>
    </row>
    <row r="26" spans="1:5" x14ac:dyDescent="0.5">
      <c r="C26" s="7"/>
    </row>
    <row r="27" spans="1:5" x14ac:dyDescent="0.5">
      <c r="C27" s="7"/>
    </row>
    <row r="28" spans="1:5" x14ac:dyDescent="0.5">
      <c r="C28" s="7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2023-12-06T11:40:30Z</cp:lastPrinted>
  <dcterms:created xsi:type="dcterms:W3CDTF">2023-12-01T10:12:47Z</dcterms:created>
  <dcterms:modified xsi:type="dcterms:W3CDTF">2026-01-17T20:30:10Z</dcterms:modified>
</cp:coreProperties>
</file>
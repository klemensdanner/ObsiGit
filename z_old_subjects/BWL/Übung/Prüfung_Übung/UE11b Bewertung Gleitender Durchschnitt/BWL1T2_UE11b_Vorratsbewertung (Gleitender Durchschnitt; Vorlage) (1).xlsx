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<sst xmlns="http://schemas.openxmlformats.org/spreadsheetml/2006/main" count="30" uniqueCount="30">
  <si>
    <t xml:space="preserve">BWL1T2_UE11b Vorratsbewertung</t>
  </si>
  <si>
    <t xml:space="preserve">Gleitendes Durchschnittspreisverfahren</t>
  </si>
  <si>
    <t>Datum</t>
  </si>
  <si>
    <t>Text</t>
  </si>
  <si>
    <t>Stück</t>
  </si>
  <si>
    <t>Preis</t>
  </si>
  <si>
    <t>Wert</t>
  </si>
  <si>
    <t>Wareneinsatz</t>
  </si>
  <si>
    <t>1.1.</t>
  </si>
  <si>
    <t>Anfangsbestand</t>
  </si>
  <si>
    <t>4.1.</t>
  </si>
  <si>
    <t>Zukauf</t>
  </si>
  <si>
    <t>Stand</t>
  </si>
  <si>
    <t>5.1.-4.5.</t>
  </si>
  <si>
    <t>Entnahme</t>
  </si>
  <si>
    <t>5.5.</t>
  </si>
  <si>
    <t>6.5.-31.12.</t>
  </si>
  <si>
    <t>31.12.</t>
  </si>
  <si>
    <t>Soll-Endbestand</t>
  </si>
  <si>
    <t>Schwund</t>
  </si>
  <si>
    <t>Abwertung</t>
  </si>
  <si>
    <t xml:space="preserve">Ist-Endbestand zum Stichtag</t>
  </si>
  <si>
    <t xml:space="preserve">Ware X</t>
  </si>
  <si>
    <t>EBK</t>
  </si>
  <si>
    <t>Kassa</t>
  </si>
  <si>
    <t>SBK</t>
  </si>
  <si>
    <t xml:space="preserve">Wareneinsatz X</t>
  </si>
  <si>
    <t>GuV</t>
  </si>
  <si>
    <t xml:space="preserve">Schwund von Vorräten</t>
  </si>
  <si>
    <t xml:space="preserve">Abwertung  von Vorräten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</si>
</sst>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_-[$€-C07]\ * #,##0.00_-;\-[$€-C07]\ * #,##0.00_-;_-[$€-C07]\ * &quot;-&quot;??_-;_-@_-"/>
    <numFmt numFmtId="165" formatCode="_-* #,##0_-;\-* #,##0_-;_-* &quot;-&quot;_-;_-@_-"/>
    <numFmt numFmtId="166" formatCode="_-* #,##0_-;\-* #,##0_-;_-* &quot;-&quot;??_-;_-@_-"/>
  </numFmts>
  <fonts count="3">
    <font>
      <sz val="11.000000"/>
      <color theme="1"/>
      <name val="Calibri"/>
      <scheme val="minor"/>
    </font>
    <font>
      <b/>
      <sz val="11.000000"/>
      <name val="Calibri"/>
      <scheme val="minor"/>
    </font>
    <font>
      <sz val="11.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</patternFill>
    </fill>
    <fill>
      <patternFill patternType="solid">
        <fgColor rgb="FF0070C0"/>
      </patternFill>
    </fill>
    <fill>
      <patternFill patternType="solid">
        <fgColor theme="0" tint="-0.049989318521683403"/>
      </patternFill>
    </fill>
  </fills>
  <borders count="7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double">
        <color auto="1"/>
      </bottom>
      <diagonal style="none"/>
    </border>
    <border>
      <left style="none"/>
      <right style="none"/>
      <top style="thin">
        <color auto="1"/>
      </top>
      <bottom style="double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3">
    <xf fontId="0" fillId="0" borderId="0" numFmtId="0" xfId="0"/>
    <xf fontId="1" fillId="2" borderId="0" numFmtId="0" xfId="0" applyFont="1" applyFill="1"/>
    <xf fontId="1" fillId="3" borderId="0" numFmtId="0" xfId="0" applyFont="1" applyFill="1" applyAlignment="1">
      <alignment horizontal="center"/>
    </xf>
    <xf fontId="2" fillId="4" borderId="0" numFmtId="0" xfId="0" applyFont="1" applyFill="1"/>
    <xf fontId="2" fillId="4" borderId="0" numFmtId="3" xfId="0" applyNumberFormat="1" applyFont="1" applyFill="1"/>
    <xf fontId="2" fillId="4" borderId="0" numFmtId="164" xfId="0" applyNumberFormat="1" applyFont="1" applyFill="1"/>
    <xf fontId="2" fillId="0" borderId="1" numFmtId="0" xfId="0" applyFont="1" applyBorder="1"/>
    <xf fontId="2" fillId="0" borderId="1" numFmtId="3" xfId="0" applyNumberFormat="1" applyFont="1" applyBorder="1"/>
    <xf fontId="2" fillId="0" borderId="1" numFmtId="164" xfId="0" applyNumberFormat="1" applyFont="1" applyBorder="1"/>
    <xf fontId="2" fillId="0" borderId="0" numFmtId="0" xfId="0" applyFont="1"/>
    <xf fontId="2" fillId="0" borderId="0" numFmtId="3" xfId="0" applyNumberFormat="1" applyFont="1"/>
    <xf fontId="2" fillId="0" borderId="0" numFmtId="164" xfId="0" applyNumberFormat="1" applyFont="1"/>
    <xf fontId="2" fillId="0" borderId="0" numFmtId="0" xfId="0" applyFont="1" applyAlignment="1">
      <alignment horizontal="left"/>
    </xf>
    <xf fontId="2" fillId="0" borderId="0" numFmtId="0" xfId="0" applyFont="1" applyAlignment="1">
      <alignment wrapText="1"/>
    </xf>
    <xf fontId="2" fillId="0" borderId="1" numFmtId="0" xfId="0" applyFont="1" applyBorder="1" applyAlignment="1">
      <alignment horizontal="center"/>
    </xf>
    <xf fontId="2" fillId="0" borderId="2" numFmtId="3" xfId="0" applyNumberFormat="1" applyFont="1" applyBorder="1"/>
    <xf fontId="2" fillId="0" borderId="0" numFmtId="165" xfId="0" applyNumberFormat="1" applyFont="1"/>
    <xf fontId="2" fillId="0" borderId="3" numFmtId="3" xfId="0" applyNumberFormat="1" applyFont="1" applyBorder="1"/>
    <xf fontId="2" fillId="0" borderId="4" numFmtId="0" xfId="0" applyFont="1" applyBorder="1"/>
    <xf fontId="2" fillId="0" borderId="1" numFmtId="165" xfId="0" applyNumberFormat="1" applyFont="1" applyBorder="1"/>
    <xf fontId="2" fillId="0" borderId="5" numFmtId="3" xfId="0" applyNumberFormat="1" applyFont="1" applyBorder="1"/>
    <xf fontId="2" fillId="0" borderId="6" numFmtId="164" xfId="0" applyNumberFormat="1" applyFont="1" applyBorder="1"/>
    <xf fontId="2" fillId="0" borderId="6" numFmtId="166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6</xdr:col>
      <xdr:colOff>58482</xdr:colOff>
      <xdr:row>2</xdr:row>
      <xdr:rowOff>156209</xdr:rowOff>
    </xdr:from>
    <xdr:ext cx="3970592" cy="2628900"/>
    <xdr:pic>
      <xdr:nvPicPr>
        <xdr:cNvPr id="692923773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 flipH="0" flipV="0">
          <a:off x="6588822" y="506729"/>
          <a:ext cx="3970592" cy="2628900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11" zoomScale="100" workbookViewId="0">
      <selection activeCell="I5" activeCellId="0" sqref="I5"/>
    </sheetView>
  </sheetViews>
  <sheetFormatPr defaultRowHeight="14.25"/>
  <cols>
    <col customWidth="1" min="1" max="1" width="11.88671875"/>
    <col customWidth="1" min="2" max="2" width="26.44140625"/>
    <col customWidth="1" min="4" max="4" width="10"/>
    <col customWidth="1" min="5" max="5" width="22.6640625"/>
    <col customWidth="1" min="6" max="6" width="17.6640625"/>
  </cols>
  <sheetData>
    <row r="1">
      <c r="A1" t="s">
        <v>0</v>
      </c>
    </row>
    <row r="2">
      <c r="A2" s="1" t="s">
        <v>1</v>
      </c>
      <c r="B2" s="1"/>
    </row>
    <row r="4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>
      <c r="A5" s="3" t="s">
        <v>8</v>
      </c>
      <c r="B5" s="3" t="s">
        <v>9</v>
      </c>
      <c r="C5" s="4">
        <v>2000</v>
      </c>
      <c r="D5" s="5">
        <v>70</v>
      </c>
      <c r="E5" s="5">
        <f>C5*D5</f>
        <v>140000</v>
      </c>
    </row>
    <row r="6">
      <c r="A6" s="6" t="s">
        <v>10</v>
      </c>
      <c r="B6" s="6" t="s">
        <v>11</v>
      </c>
      <c r="C6" s="7">
        <v>8000</v>
      </c>
      <c r="D6" s="8">
        <v>65</v>
      </c>
      <c r="E6" s="8">
        <f>C6*D6</f>
        <v>520000</v>
      </c>
      <c r="F6" s="9"/>
    </row>
    <row r="7">
      <c r="A7" s="9" t="s">
        <v>10</v>
      </c>
      <c r="B7" s="9" t="s">
        <v>12</v>
      </c>
      <c r="C7" s="10">
        <v>10000</v>
      </c>
      <c r="D7" s="11">
        <f>E7/C7</f>
        <v>66</v>
      </c>
      <c r="E7" s="11">
        <f>SUM(E5:E6)</f>
        <v>660000</v>
      </c>
      <c r="F7" s="9"/>
    </row>
    <row r="8">
      <c r="A8" s="6" t="s">
        <v>13</v>
      </c>
      <c r="B8" s="6" t="s">
        <v>14</v>
      </c>
      <c r="C8" s="7">
        <v>8000</v>
      </c>
      <c r="D8" s="8">
        <v>66</v>
      </c>
      <c r="E8" s="8">
        <f>C8*D8</f>
        <v>528000</v>
      </c>
      <c r="F8" s="11"/>
    </row>
    <row r="9">
      <c r="A9" s="9" t="s">
        <v>15</v>
      </c>
      <c r="B9" s="9" t="s">
        <v>12</v>
      </c>
      <c r="C9" s="10">
        <v>2000</v>
      </c>
      <c r="D9" s="11">
        <v>66</v>
      </c>
      <c r="E9" s="11">
        <f>C9*D9</f>
        <v>132000</v>
      </c>
      <c r="F9" s="9"/>
    </row>
    <row r="10">
      <c r="A10" s="6" t="s">
        <v>15</v>
      </c>
      <c r="B10" s="6" t="s">
        <v>11</v>
      </c>
      <c r="C10" s="7">
        <v>10000</v>
      </c>
      <c r="D10" s="8">
        <v>72</v>
      </c>
      <c r="E10" s="8">
        <f>C10*D10</f>
        <v>720000</v>
      </c>
      <c r="F10" s="9"/>
    </row>
    <row r="11">
      <c r="A11" s="9" t="s">
        <v>15</v>
      </c>
      <c r="B11" s="9" t="s">
        <v>12</v>
      </c>
      <c r="C11" s="10">
        <v>12000</v>
      </c>
      <c r="D11" s="11">
        <f>E11/C11</f>
        <v>71</v>
      </c>
      <c r="E11" s="11">
        <f>E9+E10</f>
        <v>852000</v>
      </c>
      <c r="F11" s="9"/>
    </row>
    <row r="12">
      <c r="A12" s="6" t="s">
        <v>16</v>
      </c>
      <c r="B12" s="6" t="s">
        <v>14</v>
      </c>
      <c r="C12" s="7">
        <v>9000</v>
      </c>
      <c r="D12" s="8">
        <v>71</v>
      </c>
      <c r="E12" s="8">
        <f>C12*D12</f>
        <v>639000</v>
      </c>
      <c r="F12" s="11"/>
    </row>
    <row r="13">
      <c r="A13" s="9" t="s">
        <v>17</v>
      </c>
      <c r="B13" s="9" t="s">
        <v>18</v>
      </c>
      <c r="C13" s="10">
        <v>3000</v>
      </c>
      <c r="D13" s="11">
        <v>71</v>
      </c>
      <c r="E13" s="11">
        <f>C13*D13</f>
        <v>213000</v>
      </c>
      <c r="F13" s="9"/>
      <c r="H13" s="12"/>
    </row>
    <row r="14">
      <c r="A14" s="9"/>
      <c r="B14" s="9" t="s">
        <v>19</v>
      </c>
      <c r="C14" s="10">
        <v>100</v>
      </c>
      <c r="D14" s="11">
        <v>71</v>
      </c>
      <c r="E14" s="11">
        <f>C14*D14</f>
        <v>7100</v>
      </c>
      <c r="F14" s="9"/>
    </row>
    <row r="15">
      <c r="A15" s="9"/>
      <c r="B15" t="s">
        <v>20</v>
      </c>
      <c r="C15">
        <v>2900</v>
      </c>
      <c r="D15">
        <v>1</v>
      </c>
      <c r="E15">
        <v>2900</v>
      </c>
    </row>
    <row r="16">
      <c r="A16" s="9"/>
      <c r="B16" s="13" t="s">
        <v>21</v>
      </c>
      <c r="C16" s="10">
        <v>2900</v>
      </c>
      <c r="D16" s="11">
        <f>E16/C16</f>
        <v>70</v>
      </c>
      <c r="E16" s="11">
        <f>E13-E14-E15</f>
        <v>203000</v>
      </c>
      <c r="F16" s="9"/>
    </row>
    <row r="17">
      <c r="C17" s="10"/>
      <c r="D17" s="11"/>
      <c r="E17" s="11"/>
    </row>
    <row r="18">
      <c r="C18" s="10"/>
      <c r="D18" s="11"/>
      <c r="E18" s="11"/>
    </row>
    <row r="19">
      <c r="A19" s="14" t="s">
        <v>22</v>
      </c>
      <c r="B19" s="14"/>
      <c r="C19" s="14"/>
      <c r="D19" s="14"/>
      <c r="E19" s="14"/>
      <c r="F19" s="14"/>
    </row>
    <row r="20">
      <c r="A20" t="s">
        <v>8</v>
      </c>
      <c r="B20" t="s">
        <v>23</v>
      </c>
      <c r="C20" s="15">
        <f>E5</f>
        <v>140000</v>
      </c>
      <c r="D20" s="11" t="s">
        <v>17</v>
      </c>
      <c r="E20" s="11" t="s">
        <v>7</v>
      </c>
      <c r="F20" s="16">
        <f>E8+E12</f>
        <v>1167000</v>
      </c>
    </row>
    <row r="21">
      <c r="A21" s="9" t="s">
        <v>10</v>
      </c>
      <c r="B21" s="9" t="s">
        <v>24</v>
      </c>
      <c r="C21" s="17">
        <v>520000</v>
      </c>
      <c r="D21" s="11" t="s">
        <v>17</v>
      </c>
      <c r="E21" s="11" t="s">
        <v>19</v>
      </c>
      <c r="F21" s="16">
        <v>7100</v>
      </c>
    </row>
    <row r="22">
      <c r="A22" s="9" t="s">
        <v>15</v>
      </c>
      <c r="B22" s="9" t="s">
        <v>24</v>
      </c>
      <c r="C22" s="17">
        <v>720000</v>
      </c>
      <c r="D22" s="11" t="s">
        <v>17</v>
      </c>
      <c r="E22" s="9" t="s">
        <v>20</v>
      </c>
      <c r="F22" s="16">
        <v>2900</v>
      </c>
    </row>
    <row r="23">
      <c r="A23" s="9"/>
      <c r="B23" s="9"/>
      <c r="C23" s="18"/>
      <c r="D23" s="11" t="s">
        <v>17</v>
      </c>
      <c r="E23" s="11" t="s">
        <v>25</v>
      </c>
      <c r="F23" s="19">
        <v>203000</v>
      </c>
    </row>
    <row r="24" ht="15">
      <c r="A24" s="9"/>
      <c r="B24" s="9"/>
      <c r="C24" s="20">
        <f>SUM(C20:C22)</f>
        <v>1380000</v>
      </c>
      <c r="D24" s="11"/>
      <c r="E24" s="11"/>
      <c r="F24" s="21">
        <f>SUM(F20:F23)</f>
        <v>1380000</v>
      </c>
    </row>
    <row r="25" ht="15"/>
    <row r="26">
      <c r="A26" s="14" t="s">
        <v>26</v>
      </c>
      <c r="B26" s="14"/>
      <c r="C26" s="14"/>
      <c r="D26" s="14"/>
      <c r="E26" s="14"/>
      <c r="F26" s="14"/>
    </row>
    <row r="27" ht="15">
      <c r="A27" t="s">
        <v>17</v>
      </c>
      <c r="B27" s="9" t="s">
        <v>22</v>
      </c>
      <c r="C27" s="20">
        <v>1167000</v>
      </c>
      <c r="D27" s="11" t="s">
        <v>17</v>
      </c>
      <c r="E27" s="11" t="s">
        <v>27</v>
      </c>
      <c r="F27" s="22">
        <v>1167000</v>
      </c>
    </row>
    <row r="28" ht="15"/>
    <row r="29">
      <c r="A29" s="14" t="s">
        <v>28</v>
      </c>
      <c r="B29" s="14"/>
      <c r="C29" s="14"/>
      <c r="D29" s="14"/>
      <c r="E29" s="14"/>
      <c r="F29" s="14"/>
    </row>
    <row r="30" ht="15">
      <c r="A30" t="s">
        <v>17</v>
      </c>
      <c r="B30" s="9" t="s">
        <v>22</v>
      </c>
      <c r="C30" s="20">
        <v>7100</v>
      </c>
      <c r="D30" s="11" t="s">
        <v>17</v>
      </c>
      <c r="E30" s="11" t="s">
        <v>27</v>
      </c>
      <c r="F30" s="22">
        <v>7100</v>
      </c>
    </row>
    <row r="31" ht="15"/>
    <row r="32">
      <c r="A32" s="14" t="s">
        <v>29</v>
      </c>
      <c r="B32" s="14"/>
      <c r="C32" s="14"/>
      <c r="D32" s="14"/>
      <c r="E32" s="14"/>
      <c r="F32" s="14"/>
    </row>
    <row r="33" ht="15">
      <c r="A33" t="s">
        <v>17</v>
      </c>
      <c r="B33" s="9" t="s">
        <v>22</v>
      </c>
      <c r="C33" s="20">
        <v>2900</v>
      </c>
      <c r="D33" s="11" t="s">
        <v>17</v>
      </c>
      <c r="E33" s="11" t="s">
        <v>27</v>
      </c>
      <c r="F33" s="22">
        <v>2900</v>
      </c>
    </row>
    <row r="34" ht="15"/>
  </sheetData>
  <mergeCells count="4">
    <mergeCell ref="A19:F19"/>
    <mergeCell ref="A26:F26"/>
    <mergeCell ref="A29:F29"/>
    <mergeCell ref="A32:F32"/>
  </mergeCells>
  <printOptions headings="0" gridLines="1"/>
  <pageMargins left="0.70866141732283472" right="0.70866141732283472" top="0.74803149606299213" bottom="0.74803149606299213" header="0.31496062992125984" footer="0.31496062992125984"/>
  <pageSetup paperSize="9" scale="98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>FH-Hagenberg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Hinterholzer Stefan</dc:creator>
  <cp:revision>1</cp:revision>
  <dcterms:created xsi:type="dcterms:W3CDTF">2018-12-17T09:19:06Z</dcterms:created>
  <dcterms:modified xsi:type="dcterms:W3CDTF">2026-01-18T11:54:25Z</dcterms:modified>
</cp:coreProperties>
</file>
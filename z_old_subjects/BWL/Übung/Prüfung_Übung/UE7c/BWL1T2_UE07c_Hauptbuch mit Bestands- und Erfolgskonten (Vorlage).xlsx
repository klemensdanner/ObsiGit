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kleme\Documents\ObsiGit\ObsiGit\BWL\Übung\Prüfung_Übung\UE7c\"/>
    </mc:Choice>
  </mc:AlternateContent>
  <xr:revisionPtr revIDLastSave="0" documentId="13_ncr:1_{2EA8584F-D66D-4853-A970-70A388F611D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Hauptbu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3" l="1"/>
  <c r="D72" i="3"/>
  <c r="G28" i="3"/>
  <c r="G23" i="3"/>
  <c r="G22" i="3"/>
  <c r="D23" i="3"/>
  <c r="G14" i="3"/>
  <c r="G13" i="3"/>
  <c r="D14" i="3"/>
  <c r="D40" i="3"/>
  <c r="D39" i="3"/>
  <c r="G40" i="3"/>
  <c r="D65" i="3"/>
  <c r="D64" i="3"/>
  <c r="G35" i="3"/>
  <c r="G34" i="3"/>
  <c r="G33" i="3"/>
  <c r="D35" i="3"/>
  <c r="G27" i="3"/>
  <c r="D8" i="3"/>
  <c r="G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Hinterho</author>
  </authors>
  <commentList>
    <comment ref="C12" authorId="0" shapeId="0" xr:uid="{00000000-0006-0000-0000-000004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Schreibt bitte hier immer  EBK weil es das Eröffnungsbilanzkonto nur aus diesem Grunde gibt.</t>
        </r>
      </text>
    </comment>
    <comment ref="G33" authorId="0" shapeId="0" xr:uid="{00000000-0006-0000-0000-000005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Das ist der Einsatz, d.h. der Verbrauch von Waren, die ich zum Zweck des Verkaufs aus dem Lager genommen habe</t>
        </r>
      </text>
    </comment>
    <comment ref="G34" authorId="0" shapeId="0" xr:uid="{00000000-0006-0000-0000-000006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Inventurwert (Endbestand der Waren) wird auf jeden Fall ins SBK abgeschlossen</t>
        </r>
      </text>
    </comment>
    <comment ref="D38" authorId="0" shapeId="0" xr:uid="{00000000-0006-0000-0000-000007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In Geschäftsfall 3 wurde für Private Zwecke was aus der Kassa genommen; hier zeigt sich die Auswirkung; Eigenkapital wird weniger</t>
        </r>
      </text>
    </comment>
    <comment ref="D42" authorId="0" shapeId="0" xr:uid="{00000000-0006-0000-0000-000008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Dieses Konto wird erst zum Anlass des Geschäftsfalles 2 "eröffnet" jedenfalls kommt es in der Bilanz nie vor, weil es vorher gegen Eigenkapital aufgelöst wird.</t>
        </r>
      </text>
    </comment>
    <comment ref="G43" authorId="0" shapeId="0" xr:uid="{00000000-0006-0000-0000-000009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Privat wird gegen Eigenkapital abgeschlossen !</t>
        </r>
      </text>
    </comment>
    <comment ref="D46" authorId="0" shapeId="0" xr:uid="{00000000-0006-0000-0000-00000A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alle Erfolgskonten haben keinen Anfangsbestand und werden daher zum Anlassfall bebucht und ausnahmslos gegen GuV abgeschlossen.</t>
        </r>
      </text>
    </comment>
    <comment ref="D50" authorId="0" shapeId="0" xr:uid="{00000000-0006-0000-0000-00000B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Der Wareneinsatz (d.s. Entnahmen aus dem Warenlager) wird aus dem Bestand (Handelswaren) ausgebucht und auf das Erfolgskonto (Aufwandskonto) "Wareneinsatz" gebucht</t>
        </r>
      </text>
    </comment>
    <comment ref="D56" authorId="0" shapeId="0" xr:uid="{00000000-0006-0000-0000-00000C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Hier wird jener Betrag eingetragen, um den die Anlage pro Jahr weniger Wert wird (d.i. Abschreibungsbetrag); Aufwand d.h. ins GuV abschliessen</t>
        </r>
      </text>
    </comment>
    <comment ref="D60" authorId="0" shapeId="0" xr:uid="{00000000-0006-0000-0000-00000D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Hier werden die Salden der Erfolgskonten gegenübergestellt und der Gewinn/Verlust ermittelt</t>
        </r>
      </text>
    </comment>
    <comment ref="D64" authorId="0" shapeId="0" xr:uid="{00000000-0006-0000-0000-00000E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Die Salden der Erfolgskonten ergeben im GuV-Konto selbst wiederum einen Saldo, dieser steht in diesem Beispiel auf der Soll-Seite (d.h. die Aufwändungen sind kleiner als die Erträge); Es entsteht also ein Gewinn; gebucht wird dieser auf das Eigenkapital</t>
        </r>
      </text>
    </comment>
    <comment ref="G69" authorId="0" shapeId="0" xr:uid="{00000000-0006-0000-0000-00000F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Saldo aus den Bestandskonten werden in das SBK abgeschlossen; Im SBK muss - wenn überall richtig gerechnet wurde - in Aktiva und Passiva Summengleichheit bestehen. </t>
        </r>
      </text>
    </comment>
    <comment ref="D71" authorId="0" shapeId="0" xr:uid="{00000000-0006-0000-0000-000010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Der durch die Inventur festgestellte Wert ist für die Bilanz maßgeblich und wird hier eingetragen</t>
        </r>
      </text>
    </comment>
    <comment ref="D78" authorId="0" shapeId="0" xr:uid="{00000000-0006-0000-0000-000011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das heißt, dass jemand ins Lager geht und dort feststellt, was tatsächlich alles da ist; diese Menge wird bewertet (siehe später) und der entstehende Wert auf JEDEN FALL INS SBK ABGESCHLOSSEN 1111</t>
        </r>
      </text>
    </comment>
    <comment ref="D85" authorId="0" shapeId="0" xr:uid="{00000000-0006-0000-0000-000012000000}">
      <text>
        <r>
          <rPr>
            <b/>
            <sz val="8"/>
            <color indexed="81"/>
            <rFont val="Tahoma"/>
          </rPr>
          <t>Hinterho:</t>
        </r>
        <r>
          <rPr>
            <sz val="8"/>
            <color indexed="81"/>
            <rFont val="Tahoma"/>
          </rPr>
          <t xml:space="preserve">
Dieser Wert repräsentiert das, was aus dem Lager im Laufe des Geschäftsjahres entnommen wurde; dieser Wert stellt einen Aufwand dar und wird auf ein Aufwandskonto "Wareneinsatz" übernommen und dort (wie jedes andere Erfolgskonto) ins GuV abgeschlossen !</t>
        </r>
      </text>
    </comment>
  </commentList>
</comments>
</file>

<file path=xl/sharedStrings.xml><?xml version="1.0" encoding="utf-8"?>
<sst xmlns="http://schemas.openxmlformats.org/spreadsheetml/2006/main" count="148" uniqueCount="52">
  <si>
    <t>Aktiva</t>
  </si>
  <si>
    <t>Passiva</t>
  </si>
  <si>
    <t>Soll</t>
  </si>
  <si>
    <t>Haben</t>
  </si>
  <si>
    <t>Eigenkapital</t>
  </si>
  <si>
    <t>2. Die Bestandskonten:</t>
  </si>
  <si>
    <t>3. Die Erfolgskonten</t>
  </si>
  <si>
    <t>4. Der Abschluss</t>
  </si>
  <si>
    <t>Gewinn- u. Verlustkonto</t>
  </si>
  <si>
    <t>Schlussbilanz (SBK)</t>
  </si>
  <si>
    <t>Eröffnungsbilanzkonto (EBK)</t>
  </si>
  <si>
    <t>Soll (hier Kapital)</t>
  </si>
  <si>
    <t>Haben (hier Vermögen)</t>
  </si>
  <si>
    <t>Kassa</t>
  </si>
  <si>
    <t>Privat</t>
  </si>
  <si>
    <t>Fertigungsanlagen</t>
  </si>
  <si>
    <t>Handelswaren</t>
  </si>
  <si>
    <t>Abschreibung</t>
  </si>
  <si>
    <t>Wareneinsatz</t>
  </si>
  <si>
    <t>Umsatzerlöse</t>
  </si>
  <si>
    <t>Mietaufwand</t>
  </si>
  <si>
    <t>Hauptbuch</t>
  </si>
  <si>
    <t>Warenendbestand lt. Inventur:</t>
  </si>
  <si>
    <t>Ermittlung des Wareneinsatzes:</t>
  </si>
  <si>
    <t>Anfangsbestand (EBK)</t>
  </si>
  <si>
    <t>+ Zukäufe (Geschäftsfall 4)</t>
  </si>
  <si>
    <t>- Endbestand (lt. Inventur)</t>
  </si>
  <si>
    <t>WARENEINSATZ</t>
  </si>
  <si>
    <t>Anmerkung zu 6 (Teil 1)</t>
  </si>
  <si>
    <t>Anmerkung zu 6 (Teil 2)</t>
  </si>
  <si>
    <t>aktueller Wert</t>
  </si>
  <si>
    <t>Anschaffungswert</t>
  </si>
  <si>
    <t>das heisst, dass die Fertigungsanlagen ursprünglich (zum Zeitpunkt des Kaufes) einen Wert von 400.000 hatten</t>
  </si>
  <si>
    <t>das ist allerdings schon ein paar Jahre her</t>
  </si>
  <si>
    <t>mittlerweile sind die Anlagen weniger wert geworden, genau: 150.000 am Beginn des Abschlussjahres</t>
  </si>
  <si>
    <t>für heuer beträgt der Wertverlust den Abschreibungsbetrag von 50.000 (d.s. Anschaffungswert / ND d.s. 400.000 : 8)</t>
  </si>
  <si>
    <t>Für diesen Abschreibungsbetrag wird ein eigene Konto eröffnet (Aufwandskonto: Afa bzw. Abschreibung), das ins GuV abgeschl. Wird</t>
  </si>
  <si>
    <t>Anmerkung zu 6 (Teil 3)</t>
  </si>
  <si>
    <t>Lieferforderungen (LF oder Kundenforderungen)</t>
  </si>
  <si>
    <t>Lieferverbindlichkeiten (LV oder Lieferantenschulden)</t>
  </si>
  <si>
    <t>1.1.</t>
  </si>
  <si>
    <t>Fremdkapital</t>
  </si>
  <si>
    <t>Lieferforderungen</t>
  </si>
  <si>
    <t>EBK</t>
  </si>
  <si>
    <t>Lieferverbindlich.</t>
  </si>
  <si>
    <t>7 Abschluss</t>
  </si>
  <si>
    <t>6 Abschreibung</t>
  </si>
  <si>
    <t>31.12.</t>
  </si>
  <si>
    <t>SBK</t>
  </si>
  <si>
    <t>GuV</t>
  </si>
  <si>
    <t>Gewinn</t>
  </si>
  <si>
    <t>Lieferverbindlichkeiten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</si>
</sst>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color indexed="81"/>
      <name val="Tahoma"/>
    </font>
    <font>
      <b/>
      <sz val="8"/>
      <color indexed="81"/>
      <name val="Tahoma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/>
    <xf numFmtId="3" fontId="3" fillId="0" borderId="6" xfId="0" applyNumberFormat="1" applyFont="1" applyBorder="1" applyAlignment="1">
      <alignment horizontal="right"/>
    </xf>
    <xf numFmtId="3" fontId="4" fillId="0" borderId="3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4" fillId="0" borderId="6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700473</xdr:colOff>
      <xdr:row>7</xdr:row>
      <xdr:rowOff>75728</xdr:rowOff>
    </xdr:from>
    <xdr:to>
      <xdr:col>14</xdr:col>
      <xdr:colOff>630242</xdr:colOff>
      <xdr:row>34</xdr:row>
      <xdr:rowOff>47329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1474A48-1C7F-93A4-2989-FDFB053AE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2734" y="1003380"/>
          <a:ext cx="4757346" cy="3597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topLeftCell="B1" zoomScale="119" zoomScaleNormal="160" zoomScaleSheetLayoutView="100" workbookViewId="0">
      <selection activeCell="L75" sqref="L75"/>
    </sheetView>
  </sheetViews>
  <sheetFormatPr baseColWidth="10" defaultColWidth="11.3828125" defaultRowHeight="10.3" x14ac:dyDescent="0.25"/>
  <cols>
    <col min="1" max="1" width="11.3828125" style="5" hidden="1" customWidth="1"/>
    <col min="2" max="2" width="6.3828125" style="3" customWidth="1"/>
    <col min="3" max="3" width="15.3828125" style="3" customWidth="1"/>
    <col min="4" max="4" width="12.921875" style="4" customWidth="1"/>
    <col min="5" max="5" width="13.61328125" style="3" customWidth="1"/>
    <col min="6" max="6" width="15.69140625" style="3" customWidth="1"/>
    <col min="7" max="7" width="11.69140625" style="4" bestFit="1" customWidth="1"/>
    <col min="8" max="16384" width="11.3828125" style="5"/>
  </cols>
  <sheetData>
    <row r="1" spans="2:7" x14ac:dyDescent="0.25">
      <c r="B1" s="1" t="s">
        <v>21</v>
      </c>
      <c r="C1" s="1"/>
      <c r="D1" s="2"/>
    </row>
    <row r="2" spans="2:7" x14ac:dyDescent="0.25">
      <c r="B2" s="1"/>
      <c r="C2" s="1"/>
      <c r="D2" s="2"/>
    </row>
    <row r="3" spans="2:7" x14ac:dyDescent="0.25">
      <c r="B3" s="6" t="s">
        <v>11</v>
      </c>
      <c r="C3" s="7"/>
      <c r="D3" s="27" t="s">
        <v>10</v>
      </c>
      <c r="E3" s="27"/>
      <c r="F3" s="7"/>
      <c r="G3" s="8" t="s">
        <v>12</v>
      </c>
    </row>
    <row r="4" spans="2:7" x14ac:dyDescent="0.25">
      <c r="B4" s="9" t="s">
        <v>40</v>
      </c>
      <c r="C4" s="10" t="s">
        <v>4</v>
      </c>
      <c r="D4" s="11">
        <v>683000</v>
      </c>
      <c r="E4" s="10" t="s">
        <v>40</v>
      </c>
      <c r="F4" s="10" t="s">
        <v>15</v>
      </c>
      <c r="G4" s="12">
        <v>150000</v>
      </c>
    </row>
    <row r="5" spans="2:7" x14ac:dyDescent="0.25">
      <c r="B5" s="10" t="s">
        <v>40</v>
      </c>
      <c r="C5" s="10" t="s">
        <v>41</v>
      </c>
      <c r="D5" s="13">
        <v>0</v>
      </c>
      <c r="E5" s="10" t="s">
        <v>40</v>
      </c>
      <c r="F5" s="10" t="s">
        <v>16</v>
      </c>
      <c r="G5" s="12">
        <v>436000</v>
      </c>
    </row>
    <row r="6" spans="2:7" x14ac:dyDescent="0.25">
      <c r="B6" s="10"/>
      <c r="C6" s="10"/>
      <c r="D6" s="13"/>
      <c r="E6" s="10" t="s">
        <v>40</v>
      </c>
      <c r="F6" s="10" t="s">
        <v>42</v>
      </c>
      <c r="G6" s="12">
        <v>56000</v>
      </c>
    </row>
    <row r="7" spans="2:7" x14ac:dyDescent="0.25">
      <c r="B7" s="10"/>
      <c r="C7" s="10"/>
      <c r="D7" s="13"/>
      <c r="E7" s="10" t="s">
        <v>40</v>
      </c>
      <c r="F7" s="10" t="s">
        <v>13</v>
      </c>
      <c r="G7" s="12">
        <v>41000</v>
      </c>
    </row>
    <row r="8" spans="2:7" ht="10.75" thickBot="1" x14ac:dyDescent="0.3">
      <c r="B8" s="10"/>
      <c r="C8" s="10"/>
      <c r="D8" s="14">
        <f>SUM(D4:D7)</f>
        <v>683000</v>
      </c>
      <c r="E8" s="10"/>
      <c r="F8" s="10"/>
      <c r="G8" s="15">
        <f>SUM(G4:G7)</f>
        <v>683000</v>
      </c>
    </row>
    <row r="9" spans="2:7" ht="10.75" thickTop="1" x14ac:dyDescent="0.25"/>
    <row r="10" spans="2:7" s="16" customFormat="1" x14ac:dyDescent="0.25">
      <c r="B10" s="1" t="s">
        <v>5</v>
      </c>
      <c r="C10" s="10"/>
      <c r="D10" s="12"/>
      <c r="E10" s="10"/>
      <c r="F10" s="10"/>
      <c r="G10" s="12"/>
    </row>
    <row r="11" spans="2:7" x14ac:dyDescent="0.25">
      <c r="B11" s="6" t="s">
        <v>2</v>
      </c>
      <c r="C11" s="7"/>
      <c r="D11" s="28" t="s">
        <v>38</v>
      </c>
      <c r="E11" s="28"/>
      <c r="F11" s="7"/>
      <c r="G11" s="8" t="s">
        <v>3</v>
      </c>
    </row>
    <row r="12" spans="2:7" x14ac:dyDescent="0.25">
      <c r="B12" s="10" t="s">
        <v>40</v>
      </c>
      <c r="C12" s="10" t="s">
        <v>43</v>
      </c>
      <c r="D12" s="11">
        <v>56000</v>
      </c>
      <c r="E12" s="10">
        <v>2</v>
      </c>
      <c r="F12" s="10" t="s">
        <v>13</v>
      </c>
      <c r="G12" s="12">
        <v>13720</v>
      </c>
    </row>
    <row r="13" spans="2:7" x14ac:dyDescent="0.25">
      <c r="B13" s="10">
        <v>1</v>
      </c>
      <c r="C13" s="10" t="s">
        <v>19</v>
      </c>
      <c r="D13" s="13">
        <v>143040</v>
      </c>
      <c r="E13" s="10" t="s">
        <v>47</v>
      </c>
      <c r="F13" s="10" t="s">
        <v>48</v>
      </c>
      <c r="G13" s="12">
        <f>D14-G12</f>
        <v>185320</v>
      </c>
    </row>
    <row r="14" spans="2:7" ht="10.75" thickBot="1" x14ac:dyDescent="0.3">
      <c r="D14" s="17">
        <f>SUM(D12:D13)</f>
        <v>199040</v>
      </c>
      <c r="G14" s="15">
        <f>SUM(G12:G13)</f>
        <v>199040</v>
      </c>
    </row>
    <row r="15" spans="2:7" ht="10.75" thickTop="1" x14ac:dyDescent="0.25"/>
    <row r="16" spans="2:7" x14ac:dyDescent="0.25">
      <c r="B16" s="6" t="s">
        <v>2</v>
      </c>
      <c r="C16" s="7"/>
      <c r="D16" s="28" t="s">
        <v>39</v>
      </c>
      <c r="E16" s="28"/>
      <c r="F16" s="7"/>
      <c r="G16" s="8" t="s">
        <v>3</v>
      </c>
    </row>
    <row r="17" spans="2:7" ht="10.75" thickBot="1" x14ac:dyDescent="0.3">
      <c r="B17" s="10" t="s">
        <v>47</v>
      </c>
      <c r="C17" s="10" t="s">
        <v>48</v>
      </c>
      <c r="D17" s="17">
        <v>56520</v>
      </c>
      <c r="E17" s="10">
        <v>4</v>
      </c>
      <c r="F17" s="10" t="s">
        <v>16</v>
      </c>
      <c r="G17" s="15">
        <v>56520</v>
      </c>
    </row>
    <row r="18" spans="2:7" ht="10.75" thickTop="1" x14ac:dyDescent="0.25"/>
    <row r="19" spans="2:7" x14ac:dyDescent="0.25">
      <c r="B19" s="6" t="s">
        <v>2</v>
      </c>
      <c r="C19" s="7"/>
      <c r="D19" s="26" t="s">
        <v>13</v>
      </c>
      <c r="E19" s="26"/>
      <c r="F19" s="7"/>
      <c r="G19" s="8" t="s">
        <v>3</v>
      </c>
    </row>
    <row r="20" spans="2:7" x14ac:dyDescent="0.25">
      <c r="B20" s="10" t="s">
        <v>40</v>
      </c>
      <c r="C20" s="10" t="s">
        <v>43</v>
      </c>
      <c r="D20" s="11">
        <v>41000</v>
      </c>
      <c r="E20" s="10">
        <v>3</v>
      </c>
      <c r="F20" s="10" t="s">
        <v>14</v>
      </c>
      <c r="G20" s="12">
        <v>10000</v>
      </c>
    </row>
    <row r="21" spans="2:7" x14ac:dyDescent="0.25">
      <c r="B21" s="10">
        <v>2</v>
      </c>
      <c r="C21" s="10" t="s">
        <v>42</v>
      </c>
      <c r="D21" s="13">
        <v>13720</v>
      </c>
      <c r="E21" s="10">
        <v>5</v>
      </c>
      <c r="F21" s="10" t="s">
        <v>20</v>
      </c>
      <c r="G21" s="12">
        <v>11520</v>
      </c>
    </row>
    <row r="22" spans="2:7" x14ac:dyDescent="0.25">
      <c r="D22" s="18"/>
      <c r="E22" s="10" t="s">
        <v>47</v>
      </c>
      <c r="F22" s="10" t="s">
        <v>48</v>
      </c>
      <c r="G22" s="12">
        <f>D23-G20-G21</f>
        <v>33200</v>
      </c>
    </row>
    <row r="23" spans="2:7" ht="10.75" thickBot="1" x14ac:dyDescent="0.3">
      <c r="D23" s="17">
        <f>SUM(D20:D22)</f>
        <v>54720</v>
      </c>
      <c r="G23" s="15">
        <f>SUM(G20:G22)</f>
        <v>54720</v>
      </c>
    </row>
    <row r="24" spans="2:7" ht="10.75" thickTop="1" x14ac:dyDescent="0.25"/>
    <row r="26" spans="2:7" x14ac:dyDescent="0.25">
      <c r="B26" s="6" t="s">
        <v>2</v>
      </c>
      <c r="C26" s="7"/>
      <c r="D26" s="26" t="s">
        <v>15</v>
      </c>
      <c r="E26" s="26"/>
      <c r="F26" s="7"/>
      <c r="G26" s="8" t="s">
        <v>3</v>
      </c>
    </row>
    <row r="27" spans="2:7" x14ac:dyDescent="0.25">
      <c r="B27" s="10" t="s">
        <v>40</v>
      </c>
      <c r="C27" s="10" t="s">
        <v>43</v>
      </c>
      <c r="D27" s="11">
        <v>150000</v>
      </c>
      <c r="E27" s="10">
        <v>6</v>
      </c>
      <c r="F27" s="10" t="s">
        <v>17</v>
      </c>
      <c r="G27" s="12">
        <f>400000/8</f>
        <v>50000</v>
      </c>
    </row>
    <row r="28" spans="2:7" x14ac:dyDescent="0.25">
      <c r="D28" s="18"/>
      <c r="E28" s="10" t="s">
        <v>47</v>
      </c>
      <c r="F28" s="10" t="s">
        <v>48</v>
      </c>
      <c r="G28" s="19">
        <f>D29-G27</f>
        <v>100000</v>
      </c>
    </row>
    <row r="29" spans="2:7" ht="10.75" thickBot="1" x14ac:dyDescent="0.3">
      <c r="D29" s="20">
        <v>150000</v>
      </c>
      <c r="G29" s="21">
        <v>150000</v>
      </c>
    </row>
    <row r="30" spans="2:7" ht="10.75" thickTop="1" x14ac:dyDescent="0.25"/>
    <row r="31" spans="2:7" x14ac:dyDescent="0.25">
      <c r="B31" s="22"/>
    </row>
    <row r="32" spans="2:7" x14ac:dyDescent="0.25">
      <c r="B32" s="6" t="s">
        <v>2</v>
      </c>
      <c r="C32" s="7"/>
      <c r="D32" s="26" t="s">
        <v>16</v>
      </c>
      <c r="E32" s="26"/>
      <c r="F32" s="7"/>
      <c r="G32" s="8" t="s">
        <v>3</v>
      </c>
    </row>
    <row r="33" spans="2:10" x14ac:dyDescent="0.25">
      <c r="B33" s="10" t="s">
        <v>40</v>
      </c>
      <c r="C33" s="10" t="s">
        <v>43</v>
      </c>
      <c r="D33" s="11">
        <v>436000</v>
      </c>
      <c r="E33" s="10">
        <v>7</v>
      </c>
      <c r="F33" s="10" t="s">
        <v>18</v>
      </c>
      <c r="G33" s="12">
        <f>D35-415920</f>
        <v>76600</v>
      </c>
    </row>
    <row r="34" spans="2:10" x14ac:dyDescent="0.25">
      <c r="B34" s="10">
        <v>4</v>
      </c>
      <c r="C34" s="10" t="s">
        <v>44</v>
      </c>
      <c r="D34" s="13">
        <v>56520</v>
      </c>
      <c r="E34" s="10" t="s">
        <v>47</v>
      </c>
      <c r="F34" s="10" t="s">
        <v>48</v>
      </c>
      <c r="G34" s="12">
        <f>D35-G33</f>
        <v>415920</v>
      </c>
    </row>
    <row r="35" spans="2:10" ht="10.75" thickBot="1" x14ac:dyDescent="0.3">
      <c r="D35" s="20">
        <f>SUM(D33:D34)</f>
        <v>492520</v>
      </c>
      <c r="G35" s="4">
        <f>SUM(G33:G34)</f>
        <v>492520</v>
      </c>
    </row>
    <row r="36" spans="2:10" ht="10.75" thickTop="1" x14ac:dyDescent="0.25">
      <c r="J36" s="5" t="s">
        <v>45</v>
      </c>
    </row>
    <row r="37" spans="2:10" x14ac:dyDescent="0.25">
      <c r="B37" s="6" t="s">
        <v>2</v>
      </c>
      <c r="C37" s="7"/>
      <c r="D37" s="26" t="s">
        <v>4</v>
      </c>
      <c r="E37" s="26"/>
      <c r="F37" s="7"/>
      <c r="G37" s="8" t="s">
        <v>3</v>
      </c>
      <c r="J37" s="5" t="s">
        <v>46</v>
      </c>
    </row>
    <row r="38" spans="2:10" x14ac:dyDescent="0.25">
      <c r="B38" s="10" t="s">
        <v>47</v>
      </c>
      <c r="C38" s="10" t="s">
        <v>14</v>
      </c>
      <c r="D38" s="11">
        <v>10000</v>
      </c>
      <c r="E38" s="10" t="s">
        <v>40</v>
      </c>
      <c r="F38" s="10" t="s">
        <v>43</v>
      </c>
      <c r="G38" s="11">
        <v>683000</v>
      </c>
    </row>
    <row r="39" spans="2:10" x14ac:dyDescent="0.25">
      <c r="B39" s="10" t="s">
        <v>47</v>
      </c>
      <c r="C39" s="10" t="s">
        <v>48</v>
      </c>
      <c r="D39" s="13">
        <f>G40-D38</f>
        <v>677920</v>
      </c>
      <c r="E39" s="10" t="s">
        <v>47</v>
      </c>
      <c r="F39" s="10" t="s">
        <v>49</v>
      </c>
      <c r="G39" s="13">
        <v>4920</v>
      </c>
    </row>
    <row r="40" spans="2:10" ht="10.75" thickBot="1" x14ac:dyDescent="0.3">
      <c r="D40" s="20">
        <f>SUM(D38:D39)</f>
        <v>687920</v>
      </c>
      <c r="G40" s="21">
        <f>SUM(G38:G39)</f>
        <v>687920</v>
      </c>
    </row>
    <row r="41" spans="2:10" ht="10.75" thickTop="1" x14ac:dyDescent="0.25"/>
    <row r="42" spans="2:10" x14ac:dyDescent="0.25">
      <c r="B42" s="6" t="s">
        <v>2</v>
      </c>
      <c r="C42" s="7"/>
      <c r="D42" s="26" t="s">
        <v>14</v>
      </c>
      <c r="E42" s="26"/>
      <c r="F42" s="7"/>
      <c r="G42" s="8" t="s">
        <v>3</v>
      </c>
    </row>
    <row r="43" spans="2:10" ht="10.75" thickBot="1" x14ac:dyDescent="0.3">
      <c r="B43" s="10">
        <v>3</v>
      </c>
      <c r="C43" s="10" t="s">
        <v>13</v>
      </c>
      <c r="D43" s="17">
        <v>10000</v>
      </c>
      <c r="E43" s="10" t="s">
        <v>47</v>
      </c>
      <c r="F43" s="10" t="s">
        <v>4</v>
      </c>
      <c r="G43" s="15">
        <v>10000</v>
      </c>
    </row>
    <row r="44" spans="2:10" ht="10.75" thickTop="1" x14ac:dyDescent="0.25"/>
    <row r="45" spans="2:10" x14ac:dyDescent="0.25">
      <c r="B45" s="1" t="s">
        <v>6</v>
      </c>
    </row>
    <row r="46" spans="2:10" x14ac:dyDescent="0.25">
      <c r="B46" s="7" t="s">
        <v>2</v>
      </c>
      <c r="C46" s="7"/>
      <c r="D46" s="26" t="s">
        <v>19</v>
      </c>
      <c r="E46" s="26"/>
      <c r="F46" s="7"/>
      <c r="G46" s="8" t="s">
        <v>3</v>
      </c>
    </row>
    <row r="47" spans="2:10" ht="10.75" thickBot="1" x14ac:dyDescent="0.3">
      <c r="B47" s="3" t="s">
        <v>47</v>
      </c>
      <c r="C47" s="3" t="s">
        <v>49</v>
      </c>
      <c r="D47" s="20">
        <v>143040</v>
      </c>
      <c r="E47" s="10">
        <v>1</v>
      </c>
      <c r="F47" s="10" t="s">
        <v>42</v>
      </c>
      <c r="G47" s="15">
        <v>143040</v>
      </c>
      <c r="I47" s="13"/>
    </row>
    <row r="48" spans="2:10" ht="10.75" thickTop="1" x14ac:dyDescent="0.25"/>
    <row r="49" spans="2:7" x14ac:dyDescent="0.25">
      <c r="B49" s="6" t="s">
        <v>2</v>
      </c>
      <c r="C49" s="7"/>
      <c r="D49" s="26" t="s">
        <v>18</v>
      </c>
      <c r="E49" s="26"/>
      <c r="F49" s="7"/>
      <c r="G49" s="8" t="s">
        <v>3</v>
      </c>
    </row>
    <row r="50" spans="2:7" ht="10.75" thickBot="1" x14ac:dyDescent="0.3">
      <c r="B50" s="10">
        <v>7</v>
      </c>
      <c r="C50" s="10" t="s">
        <v>16</v>
      </c>
      <c r="D50" s="17">
        <v>76600</v>
      </c>
      <c r="E50" s="10" t="s">
        <v>47</v>
      </c>
      <c r="F50" s="10" t="s">
        <v>49</v>
      </c>
      <c r="G50" s="15">
        <v>76600</v>
      </c>
    </row>
    <row r="51" spans="2:7" ht="10.75" thickTop="1" x14ac:dyDescent="0.25"/>
    <row r="52" spans="2:7" x14ac:dyDescent="0.25">
      <c r="B52" s="6" t="s">
        <v>2</v>
      </c>
      <c r="C52" s="7"/>
      <c r="D52" s="26" t="s">
        <v>20</v>
      </c>
      <c r="E52" s="26"/>
      <c r="F52" s="7"/>
      <c r="G52" s="8" t="s">
        <v>3</v>
      </c>
    </row>
    <row r="53" spans="2:7" ht="10.75" thickBot="1" x14ac:dyDescent="0.3">
      <c r="B53" s="10">
        <v>5</v>
      </c>
      <c r="C53" s="10" t="s">
        <v>13</v>
      </c>
      <c r="D53" s="17">
        <v>11520</v>
      </c>
      <c r="E53" s="10" t="s">
        <v>47</v>
      </c>
      <c r="F53" s="10" t="s">
        <v>49</v>
      </c>
      <c r="G53" s="15">
        <v>11520</v>
      </c>
    </row>
    <row r="54" spans="2:7" ht="10.75" thickTop="1" x14ac:dyDescent="0.25"/>
    <row r="55" spans="2:7" x14ac:dyDescent="0.25">
      <c r="B55" s="6" t="s">
        <v>2</v>
      </c>
      <c r="C55" s="7"/>
      <c r="D55" s="26" t="s">
        <v>17</v>
      </c>
      <c r="E55" s="26"/>
      <c r="F55" s="7"/>
      <c r="G55" s="8" t="s">
        <v>3</v>
      </c>
    </row>
    <row r="56" spans="2:7" ht="10.75" thickBot="1" x14ac:dyDescent="0.3">
      <c r="B56" s="10">
        <v>6</v>
      </c>
      <c r="C56" s="10" t="s">
        <v>15</v>
      </c>
      <c r="D56" s="17">
        <v>50000</v>
      </c>
      <c r="E56" s="10" t="s">
        <v>47</v>
      </c>
      <c r="F56" s="10" t="s">
        <v>49</v>
      </c>
      <c r="G56" s="15">
        <v>50000</v>
      </c>
    </row>
    <row r="57" spans="2:7" ht="10.75" thickTop="1" x14ac:dyDescent="0.25"/>
    <row r="58" spans="2:7" x14ac:dyDescent="0.25">
      <c r="B58" s="1" t="s">
        <v>7</v>
      </c>
    </row>
    <row r="60" spans="2:7" x14ac:dyDescent="0.25">
      <c r="B60" s="6" t="s">
        <v>2</v>
      </c>
      <c r="C60" s="7"/>
      <c r="D60" s="26" t="s">
        <v>8</v>
      </c>
      <c r="E60" s="26"/>
      <c r="F60" s="7"/>
      <c r="G60" s="8" t="s">
        <v>3</v>
      </c>
    </row>
    <row r="61" spans="2:7" x14ac:dyDescent="0.25">
      <c r="B61" s="10" t="s">
        <v>47</v>
      </c>
      <c r="C61" s="10" t="s">
        <v>18</v>
      </c>
      <c r="D61" s="13">
        <v>76600</v>
      </c>
      <c r="E61" s="10" t="s">
        <v>47</v>
      </c>
      <c r="F61" s="10" t="s">
        <v>19</v>
      </c>
      <c r="G61" s="12">
        <v>143040</v>
      </c>
    </row>
    <row r="62" spans="2:7" x14ac:dyDescent="0.25">
      <c r="B62" s="10" t="s">
        <v>47</v>
      </c>
      <c r="C62" s="10" t="s">
        <v>20</v>
      </c>
      <c r="D62" s="13">
        <v>11520</v>
      </c>
      <c r="E62" s="10"/>
    </row>
    <row r="63" spans="2:7" x14ac:dyDescent="0.25">
      <c r="B63" s="10" t="s">
        <v>47</v>
      </c>
      <c r="C63" s="10" t="s">
        <v>17</v>
      </c>
      <c r="D63" s="13">
        <v>50000</v>
      </c>
      <c r="E63" s="10"/>
    </row>
    <row r="64" spans="2:7" x14ac:dyDescent="0.25">
      <c r="B64" s="10"/>
      <c r="C64" s="10" t="s">
        <v>50</v>
      </c>
      <c r="D64" s="13">
        <f>G61-(SUM(D61:D63))</f>
        <v>4920</v>
      </c>
    </row>
    <row r="65" spans="2:7" ht="10.75" thickBot="1" x14ac:dyDescent="0.3">
      <c r="D65" s="17">
        <f>SUM(D61:D64)</f>
        <v>143040</v>
      </c>
      <c r="G65" s="15">
        <v>143040</v>
      </c>
    </row>
    <row r="66" spans="2:7" ht="10.75" thickTop="1" x14ac:dyDescent="0.25"/>
    <row r="67" spans="2:7" x14ac:dyDescent="0.25">
      <c r="B67" s="6" t="s">
        <v>0</v>
      </c>
      <c r="C67" s="7"/>
      <c r="D67" s="26" t="s">
        <v>9</v>
      </c>
      <c r="E67" s="26"/>
      <c r="F67" s="7"/>
      <c r="G67" s="8" t="s">
        <v>1</v>
      </c>
    </row>
    <row r="68" spans="2:7" x14ac:dyDescent="0.25">
      <c r="B68" s="10" t="s">
        <v>47</v>
      </c>
      <c r="C68" s="10" t="s">
        <v>16</v>
      </c>
      <c r="D68" s="11">
        <v>415920</v>
      </c>
      <c r="E68" s="3" t="s">
        <v>47</v>
      </c>
      <c r="F68" s="10" t="s">
        <v>4</v>
      </c>
      <c r="G68" s="12">
        <v>677920</v>
      </c>
    </row>
    <row r="69" spans="2:7" x14ac:dyDescent="0.25">
      <c r="B69" s="10" t="s">
        <v>47</v>
      </c>
      <c r="C69" s="10" t="s">
        <v>42</v>
      </c>
      <c r="D69" s="13">
        <v>185320</v>
      </c>
      <c r="E69" s="10" t="s">
        <v>47</v>
      </c>
      <c r="F69" s="10" t="s">
        <v>51</v>
      </c>
      <c r="G69" s="12">
        <v>56520</v>
      </c>
    </row>
    <row r="70" spans="2:7" x14ac:dyDescent="0.25">
      <c r="B70" s="10" t="s">
        <v>47</v>
      </c>
      <c r="C70" s="10" t="s">
        <v>13</v>
      </c>
      <c r="D70" s="13">
        <v>33200</v>
      </c>
    </row>
    <row r="71" spans="2:7" x14ac:dyDescent="0.25">
      <c r="B71" s="10" t="s">
        <v>47</v>
      </c>
      <c r="C71" s="10" t="s">
        <v>15</v>
      </c>
      <c r="D71" s="23">
        <v>100000</v>
      </c>
    </row>
    <row r="72" spans="2:7" ht="10.75" thickBot="1" x14ac:dyDescent="0.3">
      <c r="D72" s="17">
        <f>SUM(D68:D71)</f>
        <v>734440</v>
      </c>
      <c r="E72" s="10"/>
      <c r="F72" s="10"/>
      <c r="G72" s="15">
        <f>SUM(G68:G69)</f>
        <v>734440</v>
      </c>
    </row>
    <row r="73" spans="2:7" ht="10.75" thickTop="1" x14ac:dyDescent="0.25"/>
    <row r="75" spans="2:7" s="22" customFormat="1" x14ac:dyDescent="0.25">
      <c r="D75" s="24"/>
      <c r="G75" s="24"/>
    </row>
    <row r="76" spans="2:7" s="22" customFormat="1" x14ac:dyDescent="0.25">
      <c r="B76" s="1" t="s">
        <v>28</v>
      </c>
      <c r="D76" s="24"/>
      <c r="G76" s="24"/>
    </row>
    <row r="77" spans="2:7" s="22" customFormat="1" x14ac:dyDescent="0.25">
      <c r="D77" s="4"/>
      <c r="G77" s="24"/>
    </row>
    <row r="78" spans="2:7" s="22" customFormat="1" x14ac:dyDescent="0.25">
      <c r="B78" s="22" t="s">
        <v>22</v>
      </c>
      <c r="D78" s="4">
        <v>415920</v>
      </c>
      <c r="G78" s="24"/>
    </row>
    <row r="79" spans="2:7" s="22" customFormat="1" x14ac:dyDescent="0.25">
      <c r="D79" s="4"/>
      <c r="G79" s="24"/>
    </row>
    <row r="80" spans="2:7" s="22" customFormat="1" x14ac:dyDescent="0.25">
      <c r="B80" s="22" t="s">
        <v>23</v>
      </c>
      <c r="D80" s="4"/>
      <c r="G80" s="24"/>
    </row>
    <row r="81" spans="2:7" s="22" customFormat="1" x14ac:dyDescent="0.25">
      <c r="B81" s="22" t="s">
        <v>24</v>
      </c>
      <c r="D81" s="4"/>
      <c r="G81" s="24"/>
    </row>
    <row r="82" spans="2:7" s="22" customFormat="1" x14ac:dyDescent="0.25">
      <c r="B82" s="25" t="s">
        <v>25</v>
      </c>
      <c r="D82" s="8"/>
      <c r="G82" s="24"/>
    </row>
    <row r="83" spans="2:7" s="22" customFormat="1" x14ac:dyDescent="0.25">
      <c r="D83" s="4"/>
      <c r="G83" s="24"/>
    </row>
    <row r="84" spans="2:7" s="22" customFormat="1" x14ac:dyDescent="0.25">
      <c r="B84" s="25" t="s">
        <v>26</v>
      </c>
      <c r="D84" s="8"/>
      <c r="G84" s="24"/>
    </row>
    <row r="85" spans="2:7" x14ac:dyDescent="0.25">
      <c r="B85" s="22" t="s">
        <v>27</v>
      </c>
    </row>
    <row r="87" spans="2:7" x14ac:dyDescent="0.25">
      <c r="B87" s="1" t="s">
        <v>29</v>
      </c>
    </row>
    <row r="89" spans="2:7" x14ac:dyDescent="0.25">
      <c r="B89" s="22" t="s">
        <v>15</v>
      </c>
    </row>
    <row r="90" spans="2:7" x14ac:dyDescent="0.25">
      <c r="C90" s="3" t="s">
        <v>30</v>
      </c>
      <c r="D90" s="4">
        <v>150000</v>
      </c>
    </row>
    <row r="91" spans="2:7" x14ac:dyDescent="0.25">
      <c r="C91" s="3" t="s">
        <v>31</v>
      </c>
      <c r="D91" s="4">
        <v>400000</v>
      </c>
    </row>
    <row r="93" spans="2:7" x14ac:dyDescent="0.25">
      <c r="B93" s="22" t="s">
        <v>32</v>
      </c>
    </row>
    <row r="94" spans="2:7" x14ac:dyDescent="0.25">
      <c r="B94" s="22" t="s">
        <v>33</v>
      </c>
    </row>
    <row r="95" spans="2:7" x14ac:dyDescent="0.25">
      <c r="B95" s="22" t="s">
        <v>34</v>
      </c>
    </row>
    <row r="96" spans="2:7" x14ac:dyDescent="0.25">
      <c r="B96" s="22" t="s">
        <v>35</v>
      </c>
    </row>
    <row r="97" spans="2:2" x14ac:dyDescent="0.25">
      <c r="B97" s="22" t="s">
        <v>36</v>
      </c>
    </row>
    <row r="98" spans="2:2" x14ac:dyDescent="0.25">
      <c r="B98" s="22"/>
    </row>
    <row r="99" spans="2:2" x14ac:dyDescent="0.25">
      <c r="B99" s="1" t="s">
        <v>37</v>
      </c>
    </row>
  </sheetData>
  <mergeCells count="14">
    <mergeCell ref="D37:E37"/>
    <mergeCell ref="D46:E46"/>
    <mergeCell ref="D60:E60"/>
    <mergeCell ref="D67:E67"/>
    <mergeCell ref="D42:E42"/>
    <mergeCell ref="D49:E49"/>
    <mergeCell ref="D52:E52"/>
    <mergeCell ref="D55:E55"/>
    <mergeCell ref="D32:E32"/>
    <mergeCell ref="D3:E3"/>
    <mergeCell ref="D11:E11"/>
    <mergeCell ref="D16:E16"/>
    <mergeCell ref="D19:E19"/>
    <mergeCell ref="D26:E26"/>
  </mergeCells>
  <phoneticPr fontId="0" type="noConversion"/>
  <pageMargins left="0.78740157480314965" right="0.78740157480314965" top="1.1811023622047245" bottom="0.62992125984251968" header="0.51181102362204722" footer="0.51181102362204722"/>
  <pageSetup paperSize="9" scale="110" orientation="portrait" r:id="rId1"/>
  <headerFooter alignWithMargins="0">
    <oddHeader>&amp;LRWE1_WS20xx
Übung 7.3&amp;CName:&amp;R.............................................
.............................................</oddHeader>
  </headerFooter>
  <rowBreaks count="1" manualBreakCount="1">
    <brk id="41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Hauptbuch</vt:lpstr>
    </vt:vector>
  </TitlesOfParts>
  <Company>FHS-Hagenberg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Hinterholzer</dc:creator>
  <cp:lastModifiedBy>Danner Klemens - s2510307051</cp:lastModifiedBy>
  <cp:lastPrinted>2009-12-18T09:45:31Z</cp:lastPrinted>
  <dcterms:created xsi:type="dcterms:W3CDTF">2003-10-18T05:27:52Z</dcterms:created>
  <dcterms:modified xsi:type="dcterms:W3CDTF">2026-01-16T15:52:25Z</dcterms:modified>
</cp:coreProperties>
</file>
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2"/>
    <sheet name="Tabelle2" sheetId="2" state="visible" r:id="rId3"/>
    <sheet name="Tabelle3" sheetId="3" state="visible" r:id="rId4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tc={00AE004D-0093-47EE-8735-005B007E000E}</author>
    <author>tc={00B1001F-0051-447D-9F06-0079009300D7}</author>
  </authors>
  <commentList>
    <comment ref="F19" authorId="0" xr:uid="{00AE004D-0093-47EE-8735-005B007E000E}">
      <text>
        <r>
          <rPr>
            <b/>
            <sz val="9"/>
            <rFont val="Tahoma"/>
          </rPr>
          <t>hinterho:</t>
        </r>
        <r>
          <rPr>
            <sz val="9"/>
            <rFont val="Tahoma"/>
          </rPr>
          <t xml:space="preserve">
Herstellkosten (HSK) = Materialeinzelkosten+Materialgemeinkosten+Fertigungseinzelkosten+Fertigungsgemeinkosten
</t>
        </r>
      </text>
    </comment>
    <comment ref="G19" authorId="1" xr:uid="{00B1001F-0051-447D-9F06-0079009300D7}">
      <text>
        <r>
          <rPr>
            <b/>
            <sz val="9"/>
            <rFont val="Tahoma"/>
          </rPr>
          <t>hinterho:</t>
        </r>
        <r>
          <rPr>
            <sz val="9"/>
            <rFont val="Tahoma"/>
          </rPr>
          <t xml:space="preserve">
Herstellkosten (HSK) = Materialeinzelkosten+Materialgemeinkosten+Fertigungseinzelkosten+Fertigungsgemeinkosten
</t>
        </r>
      </text>
    </comment>
  </commentList>
</comments>
</file>

<file path=xl/sharedStrings.xml><?xml version="1.0" encoding="utf-8"?>
<sst xmlns="http://schemas.openxmlformats.org/spreadsheetml/2006/main" count="47" uniqueCount="47">
  <si>
    <t xml:space="preserve">BWL2T2_UE03a </t>
  </si>
  <si>
    <t xml:space="preserve">Betriebsabrechnungsbogen (BAB)</t>
  </si>
  <si>
    <t xml:space="preserve">Kostenstellenrechnung (Wo sind die Kosten angefallen ?)</t>
  </si>
  <si>
    <t>Kostenart</t>
  </si>
  <si>
    <t>Betrag</t>
  </si>
  <si>
    <t>Kostenstellen</t>
  </si>
  <si>
    <t>Material</t>
  </si>
  <si>
    <t>Fertigung</t>
  </si>
  <si>
    <t>Verwaltung</t>
  </si>
  <si>
    <t>Vertrieb</t>
  </si>
  <si>
    <t>1.Fertigungsmaterial</t>
  </si>
  <si>
    <t>Einzelkosten</t>
  </si>
  <si>
    <t>2.Fertigungslöhne</t>
  </si>
  <si>
    <t>3.Hilfsmaterial</t>
  </si>
  <si>
    <t>Gemeinkosten</t>
  </si>
  <si>
    <t>4.Hilfslöhne</t>
  </si>
  <si>
    <t>5.Gehälter</t>
  </si>
  <si>
    <t xml:space="preserve">6.Lohnnebenkosten FL</t>
  </si>
  <si>
    <t xml:space="preserve">7.Lohnnebenkosten HL</t>
  </si>
  <si>
    <t>8.Gehaltsnebenkosten</t>
  </si>
  <si>
    <t xml:space="preserve">9.Div. Kosten</t>
  </si>
  <si>
    <t xml:space="preserve">10.Kalk. Zinsen</t>
  </si>
  <si>
    <t xml:space="preserve">11.Kalk. Abschreibung</t>
  </si>
  <si>
    <t>Gemeinkostensummen</t>
  </si>
  <si>
    <t>Zuschlagsbasen</t>
  </si>
  <si>
    <t xml:space="preserve">Anteil der Einzelkosten</t>
  </si>
  <si>
    <t>GK-Zuschlagssätze</t>
  </si>
  <si>
    <t xml:space="preserve">Angabe in Prozent</t>
  </si>
  <si>
    <t>Kostenträgerrechnung</t>
  </si>
  <si>
    <r>
      <t xml:space="preserve">Kalkulation oder Kostenträgerrechnung (Wieviel kostet </t>
    </r>
    <r>
      <rPr>
        <b/>
        <sz val="10"/>
        <rFont val="Arial"/>
      </rPr>
      <t>uns</t>
    </r>
    <r>
      <rPr>
        <sz val="10"/>
        <rFont val="Arial"/>
      </rPr>
      <t xml:space="preserve"> eine Leistung die wir anbieten wollen)</t>
    </r>
  </si>
  <si>
    <t>Bezeichnung</t>
  </si>
  <si>
    <t>%</t>
  </si>
  <si>
    <t xml:space="preserve">€ in Tausend</t>
  </si>
  <si>
    <t>Zusatzauftrag:</t>
  </si>
  <si>
    <t>Materialeinzelkosten</t>
  </si>
  <si>
    <t>Löhne</t>
  </si>
  <si>
    <t xml:space="preserve">+ Materialgemeinkosten</t>
  </si>
  <si>
    <t>Fertigungslöhne</t>
  </si>
  <si>
    <t xml:space="preserve">+ Fertigungsgemeinkosten</t>
  </si>
  <si>
    <t xml:space="preserve">Herstellkosten (Summe)</t>
  </si>
  <si>
    <t xml:space="preserve">+ VerwaltungsGK</t>
  </si>
  <si>
    <t xml:space="preserve">als Basis die Herstellkosten verwenden !</t>
  </si>
  <si>
    <t xml:space="preserve">+ VertriebsGK</t>
  </si>
  <si>
    <t>Selbstkosten</t>
  </si>
  <si>
    <t xml:space="preserve">+ Gewinn</t>
  </si>
  <si>
    <t>Nettoverkaufspreis</t>
  </si>
  <si>
    <t xml:space="preserve">Aber: Markt bestimmt trotzdem den Preis.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</si>
</sst>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9">
    <font>
      <sz val="10.000000"/>
      <color theme="1"/>
      <name val="Arial"/>
    </font>
    <font>
      <sz val="10.000000"/>
      <name val="Arial"/>
    </font>
    <font>
      <b/>
      <sz val="10.000000"/>
      <name val="Arial"/>
    </font>
    <font>
      <b/>
      <sz val="10.000000"/>
      <color indexed="2"/>
      <name val="Arial"/>
    </font>
    <font>
      <sz val="10.000000"/>
      <color theme="2" tint="-0.749992370372631"/>
      <name val="Arial"/>
    </font>
    <font>
      <sz val="10.000000"/>
      <color indexed="65"/>
      <name val="Arial"/>
    </font>
    <font>
      <b/>
      <sz val="10.000000"/>
      <color indexed="65"/>
      <name val="Arial"/>
    </font>
    <font>
      <b/>
      <sz val="10.000000"/>
      <color theme="2" tint="-0.749992370372631"/>
      <name val="Arial"/>
    </font>
    <font>
      <sz val="10.000000"/>
      <color theme="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2" tint="-0.099978637043366805"/>
      </patternFill>
    </fill>
    <fill>
      <patternFill patternType="solid">
        <fgColor rgb="FFFFC000"/>
      </patternFill>
    </fill>
    <fill>
      <patternFill patternType="solid">
        <fgColor theme="0" tint="-0.049989318521683403"/>
      </patternFill>
    </fill>
    <fill>
      <patternFill patternType="solid">
        <fgColor indexed="47"/>
      </patternFill>
    </fill>
    <fill>
      <patternFill patternType="solid">
        <fgColor indexed="42"/>
      </patternFill>
    </fill>
  </fills>
  <borders count="4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none"/>
      <right style="none"/>
      <top style="thin">
        <color rgb="FFC00000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double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9" applyNumberFormat="1" applyFont="0" applyFill="0" applyBorder="0" applyProtection="0"/>
  </cellStyleXfs>
  <cellXfs count="75">
    <xf fontId="0" fillId="0" borderId="0" numFmtId="0" xfId="0"/>
    <xf fontId="2" fillId="2" borderId="0" numFmtId="0" xfId="0" applyFont="1" applyFill="1"/>
    <xf fontId="1" fillId="0" borderId="0" numFmtId="0" xfId="0" applyFont="1"/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4" numFmtId="0" xfId="0" applyFont="1" applyBorder="1" applyAlignment="1">
      <alignment horizontal="center"/>
    </xf>
    <xf fontId="3" fillId="0" borderId="0" numFmtId="0" xfId="0" applyFont="1"/>
    <xf fontId="2" fillId="0" borderId="0" numFmtId="0" xfId="0" applyFont="1"/>
    <xf fontId="2" fillId="0" borderId="5" numFmtId="0" xfId="0" applyFont="1" applyBorder="1" applyAlignment="1">
      <alignment horizontal="center" vertical="center"/>
    </xf>
    <xf fontId="2" fillId="0" borderId="6" numFmtId="0" xfId="0" applyFont="1" applyBorder="1" applyAlignment="1">
      <alignment horizontal="center"/>
    </xf>
    <xf fontId="2" fillId="0" borderId="7" numFmtId="0" xfId="0" applyFont="1" applyBorder="1" applyAlignment="1">
      <alignment horizontal="center"/>
    </xf>
    <xf fontId="2" fillId="0" borderId="8" numFmtId="0" xfId="0" applyFont="1" applyBorder="1" applyAlignment="1">
      <alignment horizontal="center"/>
    </xf>
    <xf fontId="2" fillId="0" borderId="9" numFmtId="0" xfId="0" applyFont="1" applyBorder="1" applyAlignment="1">
      <alignment horizontal="left"/>
    </xf>
    <xf fontId="1" fillId="0" borderId="1" numFmtId="0" xfId="0" applyFont="1" applyBorder="1"/>
    <xf fontId="1" fillId="0" borderId="10" numFmtId="0" xfId="0" applyFont="1" applyBorder="1"/>
    <xf fontId="1" fillId="0" borderId="11" numFmtId="0" xfId="0" applyFont="1" applyBorder="1"/>
    <xf fontId="1" fillId="0" borderId="12" numFmtId="0" xfId="0" applyFont="1" applyBorder="1"/>
    <xf fontId="2" fillId="0" borderId="0" numFmtId="1" xfId="0" applyNumberFormat="1" applyFont="1"/>
    <xf fontId="2" fillId="0" borderId="13" numFmtId="0" xfId="0" applyFont="1" applyBorder="1" applyAlignment="1">
      <alignment horizontal="left"/>
    </xf>
    <xf fontId="1" fillId="0" borderId="14" numFmtId="0" xfId="0" applyFont="1" applyBorder="1"/>
    <xf fontId="1" fillId="0" borderId="15" numFmtId="0" xfId="0" applyFont="1" applyBorder="1"/>
    <xf fontId="1" fillId="0" borderId="16" numFmtId="0" xfId="0" applyFont="1" applyBorder="1"/>
    <xf fontId="1" fillId="0" borderId="17" numFmtId="0" xfId="0" applyFont="1" applyBorder="1"/>
    <xf fontId="0" fillId="0" borderId="0" numFmtId="1" xfId="0" applyNumberFormat="1"/>
    <xf fontId="2" fillId="0" borderId="18" numFmtId="0" xfId="0" applyFont="1" applyBorder="1" applyAlignment="1">
      <alignment horizontal="left"/>
    </xf>
    <xf fontId="1" fillId="0" borderId="19" numFmtId="0" xfId="0" applyFont="1" applyBorder="1"/>
    <xf fontId="1" fillId="0" borderId="20" numFmtId="1" xfId="0" applyNumberFormat="1" applyFont="1" applyBorder="1"/>
    <xf fontId="1" fillId="0" borderId="21" numFmtId="164" xfId="0" applyNumberFormat="1" applyFont="1" applyBorder="1"/>
    <xf fontId="1" fillId="0" borderId="21" numFmtId="1" xfId="0" applyNumberFormat="1" applyFont="1" applyBorder="1"/>
    <xf fontId="1" fillId="0" borderId="22" numFmtId="1" xfId="0" applyNumberFormat="1" applyFont="1" applyBorder="1"/>
    <xf fontId="4" fillId="3" borderId="0" numFmtId="0" xfId="0" applyFont="1" applyFill="1"/>
    <xf fontId="2" fillId="0" borderId="23" numFmtId="0" xfId="0" applyFont="1" applyBorder="1" applyAlignment="1">
      <alignment horizontal="left"/>
    </xf>
    <xf fontId="1" fillId="0" borderId="20" numFmtId="164" xfId="0" applyNumberFormat="1" applyFont="1" applyBorder="1"/>
    <xf fontId="1" fillId="0" borderId="15" numFmtId="1" xfId="0" applyNumberFormat="1" applyFont="1" applyBorder="1"/>
    <xf fontId="1" fillId="0" borderId="16" numFmtId="164" xfId="0" applyNumberFormat="1" applyFont="1" applyBorder="1"/>
    <xf fontId="1" fillId="0" borderId="16" numFmtId="1" xfId="0" applyNumberFormat="1" applyFont="1" applyBorder="1"/>
    <xf fontId="1" fillId="0" borderId="17" numFmtId="1" xfId="0" applyNumberFormat="1" applyFont="1" applyBorder="1"/>
    <xf fontId="1" fillId="0" borderId="5" numFmtId="10" xfId="0" applyNumberFormat="1" applyFont="1" applyBorder="1"/>
    <xf fontId="1" fillId="0" borderId="24" numFmtId="165" xfId="1" applyNumberFormat="1" applyFont="1" applyBorder="1"/>
    <xf fontId="2" fillId="0" borderId="0" numFmtId="0" xfId="0" applyFont="1" applyAlignment="1">
      <alignment horizontal="left"/>
    </xf>
    <xf fontId="5" fillId="0" borderId="0" numFmtId="10" xfId="0" applyNumberFormat="1" applyFont="1"/>
    <xf fontId="5" fillId="0" borderId="0" numFmtId="10" xfId="1" applyNumberFormat="1" applyFont="1"/>
    <xf fontId="5" fillId="0" borderId="0" numFmtId="0" xfId="0" applyFont="1"/>
    <xf fontId="6" fillId="0" borderId="0" numFmtId="0" xfId="0" applyFont="1" applyAlignment="1">
      <alignment horizontal="left"/>
    </xf>
    <xf fontId="1" fillId="0" borderId="0" numFmtId="10" xfId="1" applyNumberFormat="1" applyFont="1"/>
    <xf fontId="1" fillId="0" borderId="25" numFmtId="0" xfId="0" applyFont="1" applyBorder="1"/>
    <xf fontId="2" fillId="0" borderId="26" numFmtId="0" xfId="0" applyFont="1" applyBorder="1" applyAlignment="1">
      <alignment horizontal="left"/>
    </xf>
    <xf fontId="2" fillId="0" borderId="27" numFmtId="0" xfId="0" applyFont="1" applyBorder="1"/>
    <xf fontId="2" fillId="0" borderId="28" numFmtId="0" xfId="0" applyFont="1" applyBorder="1"/>
    <xf fontId="1" fillId="4" borderId="0" numFmtId="0" xfId="0" applyFont="1" applyFill="1"/>
    <xf fontId="1" fillId="4" borderId="29" numFmtId="0" xfId="0" applyFont="1" applyFill="1" applyBorder="1"/>
    <xf fontId="4" fillId="5" borderId="30" numFmtId="0" xfId="0" applyFont="1" applyFill="1" applyBorder="1"/>
    <xf fontId="4" fillId="0" borderId="31" numFmtId="0" xfId="0" applyFont="1" applyBorder="1"/>
    <xf fontId="1" fillId="0" borderId="32" numFmtId="0" xfId="0" applyFont="1" applyBorder="1" quotePrefix="1"/>
    <xf fontId="4" fillId="0" borderId="0" numFmtId="165" xfId="1" applyNumberFormat="1" applyFont="1"/>
    <xf fontId="4" fillId="0" borderId="33" numFmtId="1" xfId="0" applyNumberFormat="1" applyFont="1" applyBorder="1"/>
    <xf fontId="1" fillId="4" borderId="32" numFmtId="0" xfId="0" applyFont="1" applyFill="1" applyBorder="1"/>
    <xf fontId="4" fillId="5" borderId="0" numFmtId="0" xfId="0" applyFont="1" applyFill="1"/>
    <xf fontId="4" fillId="0" borderId="33" numFmtId="0" xfId="0" applyFont="1" applyBorder="1"/>
    <xf fontId="4" fillId="0" borderId="34" numFmtId="165" xfId="1" applyNumberFormat="1" applyFont="1" applyBorder="1"/>
    <xf fontId="4" fillId="0" borderId="35" numFmtId="1" xfId="0" applyNumberFormat="1" applyFont="1" applyBorder="1"/>
    <xf fontId="2" fillId="6" borderId="32" numFmtId="0" xfId="0" applyFont="1" applyFill="1" applyBorder="1"/>
    <xf fontId="7" fillId="0" borderId="33" numFmtId="1" xfId="0" applyNumberFormat="1" applyFont="1" applyBorder="1"/>
    <xf fontId="4" fillId="0" borderId="0" numFmtId="165" xfId="0" applyNumberFormat="1" applyFont="1"/>
    <xf fontId="1" fillId="0" borderId="36" numFmtId="0" xfId="0" applyFont="1" applyBorder="1" quotePrefix="1"/>
    <xf fontId="4" fillId="0" borderId="37" numFmtId="165" xfId="0" applyNumberFormat="1" applyFont="1" applyBorder="1"/>
    <xf fontId="2" fillId="7" borderId="38" numFmtId="0" xfId="0" applyFont="1" applyFill="1" applyBorder="1"/>
    <xf fontId="4" fillId="5" borderId="39" numFmtId="0" xfId="0" applyFont="1" applyFill="1" applyBorder="1"/>
    <xf fontId="7" fillId="0" borderId="40" numFmtId="1" xfId="0" applyNumberFormat="1" applyFont="1" applyBorder="1"/>
    <xf fontId="1" fillId="0" borderId="0" numFmtId="0" xfId="0" applyFont="1" quotePrefix="1"/>
    <xf fontId="4" fillId="0" borderId="41" numFmtId="9" xfId="0" applyNumberFormat="1" applyFont="1" applyBorder="1"/>
    <xf fontId="4" fillId="0" borderId="41" numFmtId="1" xfId="0" applyNumberFormat="1" applyFont="1" applyBorder="1"/>
    <xf fontId="8" fillId="0" borderId="0" numFmtId="0" xfId="0" applyFont="1"/>
    <xf fontId="1" fillId="0" borderId="42" numFmt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88948</xdr:colOff>
      <xdr:row>25</xdr:row>
      <xdr:rowOff>40358</xdr:rowOff>
    </xdr:from>
    <xdr:to>
      <xdr:col>0</xdr:col>
      <xdr:colOff>371314</xdr:colOff>
      <xdr:row>26</xdr:row>
      <xdr:rowOff>102054</xdr:rowOff>
    </xdr:to>
    <xdr:sp>
      <xdr:nvSpPr>
        <xdr:cNvPr id="2" name="Arrow: Curved Down 1"/>
        <xdr:cNvSpPr/>
      </xdr:nvSpPr>
      <xdr:spPr bwMode="auto">
        <a:xfrm rot="16199999">
          <a:off x="118562" y="4095193"/>
          <a:ext cx="223137" cy="282366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0</xdr:col>
      <xdr:colOff>79908</xdr:colOff>
      <xdr:row>27</xdr:row>
      <xdr:rowOff>31315</xdr:rowOff>
    </xdr:from>
    <xdr:to>
      <xdr:col>0</xdr:col>
      <xdr:colOff>362275</xdr:colOff>
      <xdr:row>28</xdr:row>
      <xdr:rowOff>93012</xdr:rowOff>
    </xdr:to>
    <xdr:sp>
      <xdr:nvSpPr>
        <xdr:cNvPr id="3" name="Arrow: Curved Down 2"/>
        <xdr:cNvSpPr/>
      </xdr:nvSpPr>
      <xdr:spPr bwMode="auto">
        <a:xfrm rot="16199999">
          <a:off x="109523" y="4409033"/>
          <a:ext cx="223137" cy="282366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0</xdr:col>
      <xdr:colOff>103159</xdr:colOff>
      <xdr:row>29</xdr:row>
      <xdr:rowOff>46491</xdr:rowOff>
    </xdr:from>
    <xdr:to>
      <xdr:col>0</xdr:col>
      <xdr:colOff>385525</xdr:colOff>
      <xdr:row>30</xdr:row>
      <xdr:rowOff>108186</xdr:rowOff>
    </xdr:to>
    <xdr:sp>
      <xdr:nvSpPr>
        <xdr:cNvPr id="4" name="Arrow: Curved Down 3"/>
        <xdr:cNvSpPr/>
      </xdr:nvSpPr>
      <xdr:spPr bwMode="auto">
        <a:xfrm rot="16199999">
          <a:off x="132773" y="4747089"/>
          <a:ext cx="223137" cy="282366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0</xdr:col>
      <xdr:colOff>53762</xdr:colOff>
      <xdr:row>29</xdr:row>
      <xdr:rowOff>24215</xdr:rowOff>
    </xdr:from>
    <xdr:to>
      <xdr:col>0</xdr:col>
      <xdr:colOff>336128</xdr:colOff>
      <xdr:row>31</xdr:row>
      <xdr:rowOff>147579</xdr:rowOff>
    </xdr:to>
    <xdr:sp>
      <xdr:nvSpPr>
        <xdr:cNvPr id="5" name="Arrow: Curved Down 4"/>
        <xdr:cNvSpPr/>
      </xdr:nvSpPr>
      <xdr:spPr bwMode="auto">
        <a:xfrm rot="16199999">
          <a:off x="-28177" y="4836367"/>
          <a:ext cx="446244" cy="282366"/>
        </a:xfrm>
        <a:prstGeom prst="curvedDownArrow">
          <a:avLst>
            <a:gd name="adj1" fmla="val 25000"/>
            <a:gd name="adj2" fmla="val 50000"/>
            <a:gd name="adj3" fmla="val 4989"/>
          </a:avLst>
        </a:prstGeom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de-AT" sz="11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interho" id="{8EF15C9B-642C-0CEB-5E92-EE579E8AD8E2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personId="{8EF15C9B-642C-0CEB-5E92-EE579E8AD8E2}" id="{00AE004D-0093-47EE-8735-005B007E000E}" done="0">
    <text xml:space="preserve">Herstellkosten (HSK) = Materialeinzelkosten+Materialgemeinkosten+Fertigungseinzelkosten+Fertigungsgemeinkosten
</text>
  </threadedComment>
  <threadedComment ref="G19" personId="{8EF15C9B-642C-0CEB-5E92-EE579E8AD8E2}" id="{00B1001F-0051-447D-9F06-0079009300D7}" done="0">
    <text xml:space="preserve">Herstellkosten (HSK) = Materialeinzelkosten+Materialgemeinkosten+Fertigungseinzelkosten+Fertigungsgemeinkosten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owColHeaders="1" topLeftCell="A20" zoomScale="118" workbookViewId="0">
      <selection activeCell="L14" activeCellId="0" sqref="L14"/>
    </sheetView>
  </sheetViews>
  <sheetFormatPr defaultColWidth="11.42578125" defaultRowHeight="12.75"/>
  <cols>
    <col customWidth="1" min="1" max="1" width="6.85546875"/>
    <col customWidth="1" min="2" max="2" width="23.85546875"/>
    <col bestFit="1" customWidth="1" min="3" max="3" width="8.42578125"/>
    <col bestFit="1" customWidth="1" min="4" max="4" width="12.5703125"/>
    <col customWidth="1" min="8" max="8" width="14.28515625"/>
    <col bestFit="1" customWidth="1" min="9" max="9" width="13.85546875"/>
  </cols>
  <sheetData>
    <row r="1">
      <c r="B1" s="1" t="s">
        <v>0</v>
      </c>
      <c r="C1" s="1" t="s">
        <v>1</v>
      </c>
      <c r="D1" s="1"/>
      <c r="E1" s="1"/>
    </row>
    <row r="3">
      <c r="B3" s="2" t="s">
        <v>2</v>
      </c>
    </row>
    <row r="4" ht="13.5"/>
    <row r="5">
      <c r="B5" s="3" t="s">
        <v>3</v>
      </c>
      <c r="C5" s="3" t="s">
        <v>4</v>
      </c>
      <c r="D5" s="4" t="s">
        <v>5</v>
      </c>
      <c r="E5" s="5"/>
      <c r="F5" s="5"/>
      <c r="G5" s="6"/>
      <c r="H5" s="7"/>
      <c r="I5" s="7"/>
      <c r="J5" s="8"/>
    </row>
    <row r="6" ht="13.5">
      <c r="B6" s="9"/>
      <c r="C6" s="9"/>
      <c r="D6" s="10" t="s">
        <v>6</v>
      </c>
      <c r="E6" s="11" t="s">
        <v>7</v>
      </c>
      <c r="F6" s="11" t="s">
        <v>8</v>
      </c>
      <c r="G6" s="12" t="s">
        <v>9</v>
      </c>
    </row>
    <row r="7">
      <c r="B7" s="13" t="s">
        <v>10</v>
      </c>
      <c r="C7" s="14">
        <v>632</v>
      </c>
      <c r="D7" s="15">
        <f>C7</f>
        <v>632</v>
      </c>
      <c r="E7" s="16"/>
      <c r="F7" s="16"/>
      <c r="G7" s="17"/>
      <c r="H7" t="s">
        <v>11</v>
      </c>
      <c r="I7" s="8"/>
      <c r="J7" s="18"/>
    </row>
    <row r="8" ht="13.5">
      <c r="B8" s="19" t="s">
        <v>12</v>
      </c>
      <c r="C8" s="20">
        <v>720</v>
      </c>
      <c r="D8" s="21"/>
      <c r="E8" s="22">
        <f>C8</f>
        <v>720</v>
      </c>
      <c r="F8" s="22"/>
      <c r="G8" s="23"/>
      <c r="H8" t="s">
        <v>11</v>
      </c>
      <c r="J8" s="24"/>
    </row>
    <row r="9">
      <c r="B9" s="25" t="s">
        <v>13</v>
      </c>
      <c r="C9" s="26">
        <v>98</v>
      </c>
      <c r="D9" s="27">
        <v>22</v>
      </c>
      <c r="E9" s="28">
        <v>76</v>
      </c>
      <c r="F9" s="29"/>
      <c r="G9" s="30"/>
      <c r="H9" s="31" t="s">
        <v>14</v>
      </c>
      <c r="J9" s="24"/>
    </row>
    <row r="10">
      <c r="B10" s="32" t="s">
        <v>15</v>
      </c>
      <c r="C10" s="26">
        <v>216</v>
      </c>
      <c r="D10" s="27">
        <v>17</v>
      </c>
      <c r="E10" s="28">
        <v>183</v>
      </c>
      <c r="F10" s="29"/>
      <c r="G10" s="30">
        <v>16</v>
      </c>
      <c r="H10" s="31" t="s">
        <v>14</v>
      </c>
      <c r="I10" s="8"/>
      <c r="J10" s="18"/>
    </row>
    <row r="11">
      <c r="B11" s="32" t="s">
        <v>16</v>
      </c>
      <c r="C11" s="26">
        <v>580</v>
      </c>
      <c r="D11" s="27"/>
      <c r="E11" s="28">
        <v>30</v>
      </c>
      <c r="F11" s="29">
        <v>425</v>
      </c>
      <c r="G11" s="30">
        <v>125</v>
      </c>
      <c r="H11" s="31" t="s">
        <v>14</v>
      </c>
    </row>
    <row r="12">
      <c r="B12" s="32" t="s">
        <v>17</v>
      </c>
      <c r="C12" s="26">
        <v>734</v>
      </c>
      <c r="D12" s="27"/>
      <c r="E12" s="28">
        <v>734</v>
      </c>
      <c r="F12" s="29"/>
      <c r="G12" s="30"/>
      <c r="H12" s="31" t="s">
        <v>14</v>
      </c>
    </row>
    <row r="13">
      <c r="B13" s="32" t="s">
        <v>18</v>
      </c>
      <c r="C13" s="26">
        <v>112</v>
      </c>
      <c r="D13" s="27">
        <v>9</v>
      </c>
      <c r="E13" s="33">
        <v>95</v>
      </c>
      <c r="F13" s="29"/>
      <c r="G13" s="30">
        <v>8</v>
      </c>
      <c r="H13" s="31" t="s">
        <v>14</v>
      </c>
    </row>
    <row r="14">
      <c r="B14" s="32" t="s">
        <v>19</v>
      </c>
      <c r="C14" s="26">
        <v>336</v>
      </c>
      <c r="D14" s="27"/>
      <c r="E14" s="28">
        <f>E11*0.58</f>
        <v>17.399999999999999</v>
      </c>
      <c r="F14" s="29">
        <f>F11*0.58</f>
        <v>246.49999999999997</v>
      </c>
      <c r="G14" s="29">
        <f>G11*0.58</f>
        <v>72.5</v>
      </c>
      <c r="H14" s="31" t="s">
        <v>14</v>
      </c>
    </row>
    <row r="15">
      <c r="B15" s="32" t="s">
        <v>20</v>
      </c>
      <c r="C15" s="26">
        <v>1320</v>
      </c>
      <c r="D15" s="27">
        <v>33</v>
      </c>
      <c r="E15" s="33">
        <v>381</v>
      </c>
      <c r="F15" s="27">
        <v>486</v>
      </c>
      <c r="G15" s="30">
        <v>420</v>
      </c>
      <c r="H15" s="31" t="s">
        <v>14</v>
      </c>
    </row>
    <row r="16">
      <c r="B16" s="32" t="s">
        <v>21</v>
      </c>
      <c r="C16" s="26">
        <v>830</v>
      </c>
      <c r="D16" s="27">
        <v>158</v>
      </c>
      <c r="E16" s="33">
        <v>563</v>
      </c>
      <c r="F16" s="27">
        <v>97</v>
      </c>
      <c r="G16" s="30">
        <v>12</v>
      </c>
      <c r="H16" s="31" t="s">
        <v>14</v>
      </c>
      <c r="J16" s="24"/>
    </row>
    <row r="17">
      <c r="B17" s="32" t="s">
        <v>22</v>
      </c>
      <c r="C17" s="20">
        <v>563</v>
      </c>
      <c r="D17" s="34">
        <v>49</v>
      </c>
      <c r="E17" s="35">
        <v>363</v>
      </c>
      <c r="F17" s="36">
        <v>114</v>
      </c>
      <c r="G17" s="37">
        <v>37</v>
      </c>
      <c r="H17" s="31" t="s">
        <v>14</v>
      </c>
    </row>
    <row r="18">
      <c r="B18" s="32" t="s">
        <v>23</v>
      </c>
      <c r="C18" s="26">
        <f>SUM(C9:C17)</f>
        <v>4789</v>
      </c>
      <c r="D18" s="27">
        <f>SUM(D9:D17)</f>
        <v>288</v>
      </c>
      <c r="E18" s="27">
        <f>SUM(E9:E17)</f>
        <v>2442.4000000000001</v>
      </c>
      <c r="F18" s="27">
        <f>SUM(F9:F17)</f>
        <v>1368.5</v>
      </c>
      <c r="G18" s="27">
        <f>SUM(G9:G17)</f>
        <v>690.5</v>
      </c>
    </row>
    <row r="19">
      <c r="B19" s="32" t="s">
        <v>24</v>
      </c>
      <c r="C19" s="26"/>
      <c r="D19" s="27">
        <f>D7</f>
        <v>632</v>
      </c>
      <c r="E19" s="29">
        <v>720</v>
      </c>
      <c r="F19" s="29">
        <f>SUM(D18:E19)</f>
        <v>4082.4000000000001</v>
      </c>
      <c r="G19" s="29">
        <f>SUM(D18:E19)</f>
        <v>4082.4000000000001</v>
      </c>
      <c r="I19" t="s">
        <v>25</v>
      </c>
    </row>
    <row r="20" ht="13.5">
      <c r="B20" s="19" t="s">
        <v>26</v>
      </c>
      <c r="C20" s="38"/>
      <c r="D20" s="39">
        <f>D18/D19</f>
        <v>0.45569620253164556</v>
      </c>
      <c r="E20" s="39">
        <f>E18/E19</f>
        <v>3.3922222222222222</v>
      </c>
      <c r="F20" s="39">
        <f>F18/F19</f>
        <v>0.33521947873799723</v>
      </c>
      <c r="G20" s="39">
        <f>G18/G19</f>
        <v>0.16914070154810895</v>
      </c>
      <c r="I20" t="s">
        <v>27</v>
      </c>
    </row>
    <row r="21">
      <c r="B21" s="40"/>
      <c r="C21" s="41"/>
      <c r="D21" s="42"/>
      <c r="E21" s="42"/>
      <c r="F21" s="42"/>
      <c r="G21" s="42"/>
    </row>
    <row r="22">
      <c r="A22" s="43"/>
      <c r="B22" s="44" t="s">
        <v>28</v>
      </c>
      <c r="C22" s="41"/>
      <c r="D22" s="42"/>
      <c r="E22" s="42"/>
      <c r="F22" s="45"/>
      <c r="G22" s="45"/>
      <c r="H22" s="46"/>
      <c r="I22" s="2"/>
      <c r="J22" s="2"/>
    </row>
    <row r="23">
      <c r="A23" s="43"/>
      <c r="B23" s="2" t="s">
        <v>29</v>
      </c>
      <c r="C23" s="43"/>
      <c r="D23" s="43"/>
      <c r="F23" s="2"/>
      <c r="G23" s="2"/>
      <c r="H23" s="2"/>
      <c r="I23" s="2"/>
      <c r="J23" s="2"/>
    </row>
    <row r="24" ht="13.5">
      <c r="A24" s="43"/>
      <c r="B24" s="2"/>
      <c r="C24" s="43"/>
      <c r="D24" s="43"/>
      <c r="F24" s="2"/>
      <c r="G24" s="2"/>
      <c r="H24" s="2"/>
      <c r="I24" s="2"/>
      <c r="J24" s="2"/>
    </row>
    <row r="25" ht="13.5">
      <c r="A25" s="43"/>
      <c r="B25" s="47" t="s">
        <v>30</v>
      </c>
      <c r="C25" s="48" t="s">
        <v>31</v>
      </c>
      <c r="D25" s="49" t="s">
        <v>32</v>
      </c>
      <c r="E25" s="43" t="s">
        <v>33</v>
      </c>
      <c r="F25" s="2"/>
      <c r="G25" s="50" t="s">
        <v>6</v>
      </c>
      <c r="H25" s="50">
        <v>100</v>
      </c>
      <c r="I25" s="2"/>
      <c r="J25" s="2"/>
    </row>
    <row r="26">
      <c r="A26" s="43"/>
      <c r="B26" s="51" t="s">
        <v>34</v>
      </c>
      <c r="C26" s="52"/>
      <c r="D26" s="53">
        <v>100</v>
      </c>
      <c r="E26" s="43"/>
      <c r="F26" s="2"/>
      <c r="G26" s="50" t="s">
        <v>35</v>
      </c>
      <c r="H26" s="50">
        <v>200</v>
      </c>
      <c r="I26" s="2"/>
      <c r="J26" s="2"/>
    </row>
    <row r="27">
      <c r="A27" s="43"/>
      <c r="B27" s="54" t="s">
        <v>36</v>
      </c>
      <c r="C27" s="55">
        <f>D20</f>
        <v>0.45569620253164556</v>
      </c>
      <c r="D27" s="56">
        <f>D26*C27</f>
        <v>45.569620253164558</v>
      </c>
      <c r="E27" s="43"/>
      <c r="F27" s="43"/>
      <c r="G27" s="43"/>
      <c r="H27" s="43"/>
    </row>
    <row r="28">
      <c r="A28" s="43"/>
      <c r="B28" s="57" t="s">
        <v>37</v>
      </c>
      <c r="C28" s="58"/>
      <c r="D28" s="59">
        <v>200</v>
      </c>
      <c r="E28" s="43"/>
      <c r="F28" s="43"/>
      <c r="G28" s="43"/>
      <c r="H28" s="43"/>
    </row>
    <row r="29">
      <c r="A29" s="43"/>
      <c r="B29" s="54" t="s">
        <v>38</v>
      </c>
      <c r="C29" s="60">
        <f>E20</f>
        <v>3.3922222222222222</v>
      </c>
      <c r="D29" s="61">
        <f>D28*C29</f>
        <v>678.44444444444446</v>
      </c>
      <c r="E29" s="43"/>
      <c r="F29" s="43"/>
      <c r="G29" s="43"/>
      <c r="H29" s="43"/>
    </row>
    <row r="30">
      <c r="A30" s="43"/>
      <c r="B30" s="62" t="s">
        <v>39</v>
      </c>
      <c r="C30" s="58"/>
      <c r="D30" s="63">
        <f>SUM(D26:D29)</f>
        <v>1024.014064697609</v>
      </c>
      <c r="E30" s="43"/>
      <c r="F30" s="43"/>
      <c r="G30" s="43"/>
      <c r="H30" s="43"/>
    </row>
    <row r="31">
      <c r="A31" s="43"/>
      <c r="B31" s="54" t="s">
        <v>40</v>
      </c>
      <c r="C31" s="64">
        <f>F20</f>
        <v>0.33521947873799723</v>
      </c>
      <c r="D31" s="56">
        <f>$D$30*C31</f>
        <v>343.26946098831024</v>
      </c>
      <c r="E31" s="2" t="s">
        <v>41</v>
      </c>
      <c r="F31" s="43"/>
      <c r="G31" s="43"/>
      <c r="H31" s="43"/>
    </row>
    <row r="32">
      <c r="A32" s="43"/>
      <c r="B32" s="65" t="s">
        <v>42</v>
      </c>
      <c r="C32" s="66">
        <f>G20</f>
        <v>0.16914070154810895</v>
      </c>
      <c r="D32" s="56">
        <f>$D$30*C32</f>
        <v>173.20245729808423</v>
      </c>
      <c r="E32" s="2" t="s">
        <v>41</v>
      </c>
      <c r="F32" s="43"/>
      <c r="G32" s="43"/>
      <c r="H32" s="43"/>
    </row>
    <row r="33" ht="13.5">
      <c r="A33" s="43"/>
      <c r="B33" s="67" t="s">
        <v>43</v>
      </c>
      <c r="C33" s="68"/>
      <c r="D33" s="69">
        <f>SUM(D30:D32)</f>
        <v>1540.4859829840036</v>
      </c>
      <c r="E33" s="43"/>
      <c r="F33" s="43"/>
      <c r="G33" s="43"/>
      <c r="H33" s="43"/>
    </row>
    <row r="34">
      <c r="B34" s="70" t="s">
        <v>44</v>
      </c>
      <c r="C34" s="71">
        <v>0.20000000000000001</v>
      </c>
      <c r="D34" s="72">
        <f>D33*C34</f>
        <v>308.09719659680076</v>
      </c>
      <c r="E34" s="43"/>
      <c r="F34" s="43"/>
      <c r="G34" s="43"/>
      <c r="H34" s="43"/>
    </row>
    <row r="35" ht="13.5">
      <c r="B35" t="s">
        <v>45</v>
      </c>
      <c r="C35" s="73"/>
      <c r="D35" s="74">
        <f>SUM(D33:D34)</f>
        <v>1848.5831795808044</v>
      </c>
    </row>
    <row r="36" ht="13.5"/>
    <row r="38" ht="12.75">
      <c r="B38" t="s">
        <v>46</v>
      </c>
    </row>
  </sheetData>
  <mergeCells count="3">
    <mergeCell ref="B5:B6"/>
    <mergeCell ref="C5:C6"/>
    <mergeCell ref="D5:G5"/>
  </mergeCells>
  <printOptions headings="0" gridLines="0"/>
  <pageMargins left="0.75" right="0.75" top="1" bottom="1" header="0.49212598449999995" footer="0.49212598449999995"/>
  <pageSetup paperSize="9" scale="100" fitToWidth="1" fitToHeight="1" pageOrder="downThenOver" orientation="portrait" usePrinterDefaults="1" blackAndWhite="0" draft="0" cellComments="none" useFirstPageNumber="0" errors="displayed" horizontalDpi="200" verticalDpi="200" copies="1"/>
  <headerFooter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42578125" defaultRowHeight="12.75"/>
  <sheetData/>
  <printOptions headings="0" gridLines="0"/>
  <pageMargins left="0.75" right="0.75" top="1" bottom="1" header="0.49212598449999995" footer="0.4921259844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11.42578125" defaultRowHeight="12.75"/>
  <sheetData/>
  <printOptions headings="0" gridLines="0"/>
  <pageMargins left="0.75" right="0.75" top="1" bottom="1" header="0.49212598449999995" footer="0.4921259844999999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 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revision>1</cp:revision>
  <dcterms:created xsi:type="dcterms:W3CDTF">2007-04-19T08:43:38Z</dcterms:created>
  <dcterms:modified xsi:type="dcterms:W3CDTF">2026-03-23T14:10:05Z</dcterms:modified>
</cp:coreProperties>
</file>
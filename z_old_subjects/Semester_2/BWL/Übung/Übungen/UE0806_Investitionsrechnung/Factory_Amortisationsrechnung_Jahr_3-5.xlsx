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Tabelle1" sheetId="1" state="visible" r:id="rId1"/>
    <sheet name="Tabelle2" sheetId="2" state="visible" r:id="rId2"/>
    <sheet name="Tabelle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<sst xmlns="http://schemas.openxmlformats.org/spreadsheetml/2006/main" count="22" uniqueCount="22">
  <si>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 xml:space="preserve">Amortisationsrechnung für neue Fertigungsanlage</t>
  </si>
  <si>
    <t xml:space="preserve">Jahr 3</t>
  </si>
  <si>
    <t xml:space="preserve">Jahr 4</t>
  </si>
  <si>
    <t xml:space="preserve">Jahr 5</t>
  </si>
  <si>
    <t xml:space="preserve">Zahlungsströme *)</t>
  </si>
  <si>
    <t>1Q</t>
  </si>
  <si>
    <t>2Q</t>
  </si>
  <si>
    <t>3Q</t>
  </si>
  <si>
    <t>4Q</t>
  </si>
  <si>
    <t>Investition</t>
  </si>
  <si>
    <t xml:space="preserve">∆ Materialkosten</t>
  </si>
  <si>
    <t xml:space="preserve">∆ Fertigungskosten</t>
  </si>
  <si>
    <t xml:space="preserve">∆ Vertriebskosten</t>
  </si>
  <si>
    <t xml:space="preserve">Zinsen für Investition</t>
  </si>
  <si>
    <t xml:space="preserve">∑ Auszahlungen</t>
  </si>
  <si>
    <t xml:space="preserve">∆ Umsatzerlöse</t>
  </si>
  <si>
    <t xml:space="preserve">∑ Einzahlungen</t>
  </si>
  <si>
    <t>Überschuss/Fehlbetrag</t>
  </si>
  <si>
    <t>kumuliert</t>
  </si>
  <si>
    <t xml:space="preserve">*) Neue vs. alte Fertigungsanlage; Jahre 4, 5 = Fortsetzung Jahr 3</t>
  </si>
  <si>
    <t xml:space="preserve">Der Break-Even liegt zwischen Jahr 4 Q4 und Jahr 5 Q1, weil da die kumulierte Differenz zuschen Auszahlungen und Einzahlungen</t>
  </si>
  <si>
    <t xml:space="preserve">das erste Mal positiv (= 1) ist.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</si>
</sst>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&quot;€&quot;\ * #,##0.00_-;\-&quot;€&quot;\ * #,##0.00_-;_-&quot;€&quot;\ * &quot;-&quot;??_-;_-@_-"/>
    <numFmt numFmtId="167" formatCode="_-&quot;€&quot;\ * #,##0_-;\-&quot;€&quot;\ * #,##0_-;_-&quot;€&quot;\ * &quot;-&quot;_-;_-@_-"/>
  </numFmts>
  <fonts count="22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 tint="0"/>
      <name val="Calibri Light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b/>
      <sz val="14.000000"/>
      <name val="Arial"/>
    </font>
    <font>
      <b/>
      <sz val="10.000000"/>
      <name val="Arial"/>
    </font>
    <font>
      <b/>
      <sz val="12.000000"/>
      <name val="Arial"/>
    </font>
    <font>
      <b/>
      <sz val="12.000000"/>
      <color indexed="4"/>
      <name val="Arial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0" numFmtId="0" applyNumberFormat="1" applyFont="1" applyFill="1" applyBorder="1"/>
    <xf fontId="4" fillId="27" borderId="1" numFmtId="0" applyNumberFormat="1" applyFont="1" applyFill="1" applyBorder="1"/>
    <xf fontId="5" fillId="28" borderId="2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6" fillId="0" borderId="0" numFmtId="0" applyNumberFormat="1" applyFont="1" applyFill="1" applyBorder="1"/>
    <xf fontId="7" fillId="29" borderId="0" numFmtId="0" applyNumberFormat="1" applyFont="1" applyFill="1" applyBorder="1"/>
    <xf fontId="8" fillId="0" borderId="3" numFmtId="0" applyNumberFormat="1" applyFont="1" applyFill="1" applyBorder="1"/>
    <xf fontId="9" fillId="0" borderId="4" numFmtId="0" applyNumberFormat="1" applyFont="1" applyFill="1" applyBorder="1"/>
    <xf fontId="10" fillId="0" borderId="5" numFmtId="0" applyNumberFormat="1" applyFont="1" applyFill="1" applyBorder="1"/>
    <xf fontId="10" fillId="0" borderId="0" numFmtId="0" applyNumberFormat="1" applyFont="1" applyFill="1" applyBorder="1"/>
    <xf fontId="11" fillId="30" borderId="1" numFmtId="0" applyNumberFormat="1" applyFont="1" applyFill="1" applyBorder="1"/>
    <xf fontId="12" fillId="0" borderId="6" numFmtId="0" applyNumberFormat="1" applyFont="1" applyFill="1" applyBorder="1"/>
    <xf fontId="13" fillId="31" borderId="0" numFmtId="0" applyNumberFormat="1" applyFont="1" applyFill="1" applyBorder="1"/>
    <xf fontId="0" fillId="32" borderId="7" numFmtId="0" applyNumberFormat="1" applyFont="1" applyFill="1" applyBorder="1"/>
    <xf fontId="14" fillId="27" borderId="8" numFmtId="0" applyNumberFormat="1" applyFont="1" applyFill="1" applyBorder="1"/>
    <xf fontId="0" fillId="0" borderId="0" numFmtId="9" applyNumberFormat="1" applyFont="1" applyFill="1" applyBorder="1"/>
    <xf fontId="15" fillId="0" borderId="0" numFmtId="0" applyNumberFormat="1" applyFont="1" applyFill="1" applyBorder="1"/>
    <xf fontId="16" fillId="0" borderId="9" numFmtId="0" applyNumberFormat="1" applyFont="1" applyFill="1" applyBorder="1"/>
    <xf fontId="17" fillId="0" borderId="0" numFmtId="0" applyNumberFormat="1" applyFont="1" applyFill="1" applyBorder="1"/>
  </cellStyleXfs>
  <cellXfs count="5">
    <xf fontId="0" fillId="0" borderId="0" numFmtId="0" xfId="0"/>
    <xf fontId="18" fillId="0" borderId="0" numFmtId="0" xfId="0" applyFont="1"/>
    <xf fontId="19" fillId="0" borderId="0" numFmtId="0" xfId="0" applyFont="1"/>
    <xf fontId="20" fillId="0" borderId="0" numFmtId="0" xfId="0" applyFont="1"/>
    <xf fontId="21" fillId="0" borderId="0" numFmtId="0" xfId="0" applyFont="1"/>
  </cellXfs>
  <cellStyles count="47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rmal" xfId="0" builtinId="0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5" activeCellId="0" sqref="A25"/>
    </sheetView>
  </sheetViews>
  <sheetFormatPr baseColWidth="8" defaultRowHeight="12.75" customHeight="1"/>
  <cols>
    <col customWidth="1" min="1" max="1" width="21.5703"/>
    <col customWidth="1" min="2" max="2" width="9.7109400000000008"/>
    <col customWidth="1" min="3" max="4" width="9.8554700000000004"/>
    <col customWidth="1" min="5" max="5" width="9.7109400000000008"/>
    <col customWidth="1" min="6" max="6" width="9.4257799999999996"/>
    <col customWidth="1" min="7" max="7" width="10.2852"/>
    <col customWidth="1" min="8" max="8" width="9.7109400000000008"/>
    <col customWidth="1" min="9" max="9" width="9.5703099999999992"/>
    <col customWidth="1" min="10" max="10" width="9.7109400000000008"/>
    <col customWidth="1" min="11" max="257" width="11.425800000000001"/>
  </cols>
  <sheetData>
    <row r="1" ht="16.5">
      <c r="A1" s="1" t="s">
        <v>0</v>
      </c>
    </row>
    <row r="3" ht="12.75">
      <c r="A3" s="2"/>
      <c r="B3" s="2" t="s">
        <v>1</v>
      </c>
      <c r="C3" s="2"/>
      <c r="D3" s="2"/>
      <c r="E3" s="2"/>
      <c r="F3" s="2" t="s">
        <v>2</v>
      </c>
      <c r="G3" s="2"/>
      <c r="H3" s="2"/>
      <c r="I3" s="2"/>
      <c r="J3" s="2" t="s">
        <v>3</v>
      </c>
    </row>
    <row r="4" ht="12.75">
      <c r="A4" s="2"/>
      <c r="B4" s="2"/>
      <c r="C4" s="2"/>
      <c r="D4" s="2"/>
      <c r="E4" s="2"/>
      <c r="F4" s="2"/>
      <c r="G4" s="2"/>
      <c r="H4" s="2"/>
      <c r="I4" s="2"/>
      <c r="J4" s="2"/>
    </row>
    <row r="5" ht="12.7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5</v>
      </c>
    </row>
    <row r="6" ht="12.75">
      <c r="A6" s="2"/>
      <c r="B6" s="2"/>
      <c r="C6" s="2"/>
      <c r="D6" s="2"/>
      <c r="E6" s="2"/>
      <c r="F6" s="2"/>
      <c r="G6" s="2"/>
      <c r="H6" s="2"/>
      <c r="I6" s="2"/>
      <c r="J6" s="2"/>
    </row>
    <row r="7" ht="12.75">
      <c r="A7" s="2" t="s">
        <v>9</v>
      </c>
      <c r="B7" s="2"/>
      <c r="C7" s="2">
        <v>-20</v>
      </c>
      <c r="D7" s="2"/>
      <c r="E7" s="2"/>
      <c r="F7" s="2"/>
      <c r="G7" s="2"/>
      <c r="H7" s="2"/>
      <c r="I7" s="2"/>
      <c r="J7" s="2"/>
    </row>
    <row r="8" ht="12.75">
      <c r="A8" s="2" t="s">
        <v>10</v>
      </c>
      <c r="B8" s="2"/>
      <c r="C8" s="2"/>
      <c r="D8" s="2">
        <v>-3</v>
      </c>
      <c r="E8" s="2">
        <v>-3</v>
      </c>
      <c r="F8" s="2">
        <v>-3</v>
      </c>
      <c r="G8" s="2">
        <v>-3</v>
      </c>
      <c r="H8" s="2">
        <v>-3</v>
      </c>
      <c r="I8" s="2">
        <v>-3</v>
      </c>
      <c r="J8" s="2">
        <v>-3</v>
      </c>
    </row>
    <row r="9" ht="12.75">
      <c r="A9" s="2" t="s">
        <v>11</v>
      </c>
      <c r="B9" s="2"/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-1</v>
      </c>
    </row>
    <row r="10" ht="12.75">
      <c r="A10" s="2" t="s">
        <v>12</v>
      </c>
      <c r="B10" s="2">
        <v>-1</v>
      </c>
      <c r="C10" s="2"/>
      <c r="D10" s="2"/>
      <c r="E10" s="2"/>
      <c r="F10" s="2">
        <v>-1</v>
      </c>
      <c r="G10" s="2"/>
      <c r="H10" s="2"/>
      <c r="I10" s="2"/>
      <c r="J10" s="2">
        <v>-1</v>
      </c>
    </row>
    <row r="11" ht="12.75">
      <c r="A11" s="2" t="s">
        <v>13</v>
      </c>
      <c r="B11" s="2"/>
      <c r="C11" s="2"/>
      <c r="D11" s="2"/>
      <c r="E11" s="2">
        <v>-2</v>
      </c>
      <c r="F11" s="2"/>
      <c r="G11" s="2"/>
      <c r="H11" s="2"/>
      <c r="I11" s="2">
        <v>-2</v>
      </c>
      <c r="J11" s="2"/>
    </row>
    <row r="12" ht="12.7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5">
      <c r="A13" s="3" t="s">
        <v>14</v>
      </c>
      <c r="B13" s="3">
        <f>SUM(B7:B11)</f>
        <v>-1</v>
      </c>
      <c r="C13" s="3">
        <f t="shared" ref="C13:I13" si="0">SUM(C7:C11)</f>
        <v>-21</v>
      </c>
      <c r="D13" s="3">
        <f t="shared" si="0"/>
        <v>-4</v>
      </c>
      <c r="E13" s="3">
        <f t="shared" si="0"/>
        <v>-6</v>
      </c>
      <c r="F13" s="3">
        <f t="shared" si="0"/>
        <v>-5</v>
      </c>
      <c r="G13" s="3">
        <f t="shared" si="0"/>
        <v>-4</v>
      </c>
      <c r="H13" s="3">
        <f t="shared" si="0"/>
        <v>-4</v>
      </c>
      <c r="I13" s="3">
        <f t="shared" si="0"/>
        <v>-6</v>
      </c>
      <c r="J13" s="3">
        <f>SUM(J7:J11)</f>
        <v>-5</v>
      </c>
    </row>
    <row r="14" ht="12.7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>
      <c r="A15" s="2" t="s">
        <v>15</v>
      </c>
      <c r="B15" s="2"/>
      <c r="C15" s="2"/>
      <c r="D15" s="2"/>
      <c r="E15" s="2"/>
      <c r="F15" s="2"/>
      <c r="G15" s="2"/>
      <c r="H15" s="2"/>
      <c r="I15" s="2"/>
      <c r="J15" s="2"/>
    </row>
    <row r="16" ht="12.7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5">
      <c r="A17" s="3" t="s">
        <v>16</v>
      </c>
      <c r="B17" s="3">
        <f>B15</f>
        <v>0</v>
      </c>
      <c r="C17" s="3">
        <f>C15</f>
        <v>0</v>
      </c>
      <c r="D17" s="3">
        <v>9</v>
      </c>
      <c r="E17" s="3">
        <v>8</v>
      </c>
      <c r="F17" s="3">
        <v>8</v>
      </c>
      <c r="G17" s="3">
        <v>8</v>
      </c>
      <c r="H17" s="3">
        <v>8</v>
      </c>
      <c r="I17" s="3">
        <v>8</v>
      </c>
      <c r="J17" s="3">
        <v>8</v>
      </c>
    </row>
    <row r="18" ht="12.7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>
      <c r="A19" s="2" t="s">
        <v>17</v>
      </c>
      <c r="B19" s="2">
        <f>B17+B13</f>
        <v>-1</v>
      </c>
      <c r="C19" s="2">
        <f t="shared" ref="C19:J19" si="1">C17+C13</f>
        <v>-21</v>
      </c>
      <c r="D19" s="2">
        <f t="shared" si="1"/>
        <v>5</v>
      </c>
      <c r="E19" s="2">
        <f t="shared" si="1"/>
        <v>2</v>
      </c>
      <c r="F19" s="2">
        <f t="shared" si="1"/>
        <v>3</v>
      </c>
      <c r="G19" s="2">
        <f t="shared" si="1"/>
        <v>4</v>
      </c>
      <c r="H19" s="2">
        <f t="shared" si="1"/>
        <v>4</v>
      </c>
      <c r="I19" s="2">
        <f t="shared" si="1"/>
        <v>2</v>
      </c>
      <c r="J19" s="2">
        <f t="shared" si="1"/>
        <v>3</v>
      </c>
    </row>
    <row r="20" ht="12.7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">
      <c r="A21" s="4" t="s">
        <v>18</v>
      </c>
      <c r="B21" s="4">
        <f>B19</f>
        <v>-1</v>
      </c>
      <c r="C21" s="4">
        <f>C19+B21</f>
        <v>-22</v>
      </c>
      <c r="D21" s="4">
        <f t="shared" ref="D21:I21" si="2">D19+C21</f>
        <v>-17</v>
      </c>
      <c r="E21" s="4">
        <f t="shared" si="2"/>
        <v>-15</v>
      </c>
      <c r="F21" s="4">
        <f t="shared" si="2"/>
        <v>-12</v>
      </c>
      <c r="G21" s="4">
        <f t="shared" si="2"/>
        <v>-8</v>
      </c>
      <c r="H21" s="4">
        <f t="shared" si="2"/>
        <v>-4</v>
      </c>
      <c r="I21" s="4">
        <f t="shared" si="2"/>
        <v>-2</v>
      </c>
      <c r="J21" s="4">
        <f>J19+I21</f>
        <v>1</v>
      </c>
    </row>
    <row r="24" ht="12.75">
      <c r="A24" s="2" t="s">
        <v>19</v>
      </c>
      <c r="B24" s="2"/>
      <c r="C24" s="2"/>
      <c r="D24" s="2"/>
      <c r="E24" s="2"/>
    </row>
    <row r="27" ht="12.75" customHeight="1">
      <c r="B27" t="s">
        <v>20</v>
      </c>
    </row>
    <row r="28" ht="12.75" customHeight="1">
      <c r="B28" t="s">
        <v>21</v>
      </c>
    </row>
  </sheetData>
  <printOptions headings="0" gridLines="0"/>
  <pageMargins left="0.78740199999999982" right="0.78740199999999982" top="0.9842519999999999" bottom="0.9842519999999999" header="0.49212599999999995" footer="0.49212599999999995"/>
  <pageSetup paperSize="9" scale="90" firstPageNumber="1" fitToWidth="1" fitToHeight="1" pageOrder="downThenOver" orientation="landscape" usePrinterDefaults="1" blackAndWhite="0" draft="0" cellComments="none" useFirstPageNumber="0" errors="displayed" horizontalDpi="65533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cols>
    <col customWidth="1" min="1" max="257" width="11.425800000000001"/>
  </cols>
  <sheetData/>
  <printOptions headings="0" gridLines="0"/>
  <pageMargins left="0.78740199999999982" right="0.78740199999999982" top="0.9842519999999999" bottom="0.9842519999999999" header="0.49212599999999995" footer="0.4921259999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cols>
    <col customWidth="1" min="1" max="257" width="11.425800000000001"/>
  </cols>
  <sheetData/>
  <printOptions headings="0" gridLines="0"/>
  <pageMargins left="0.78740199999999982" right="0.78740199999999982" top="0.9842519999999999" bottom="0.9842519999999999" header="0.49212599999999995" footer="0.4921259999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Pototschnig</dc:creator>
  <cp:revision>1</cp:revision>
  <dcterms:created xsi:type="dcterms:W3CDTF">2007-06-18T14:16:00Z</dcterms:created>
  <dcterms:modified xsi:type="dcterms:W3CDTF">2026-06-27T17:18:10Z</dcterms:modified>
  <cp:version>1048576</cp:version>
</cp:coreProperties>
</file>
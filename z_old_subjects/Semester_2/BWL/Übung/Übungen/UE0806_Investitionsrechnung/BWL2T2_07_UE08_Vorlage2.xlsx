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app.xml" ContentType="application/vnd.openxmlformats-officedocument.extended-properties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readedComments/threadedComment1.xml" ContentType="application/vnd.ms-excel.threadedcomment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4" showHorizontalScroll="1" showVerticalScroll="1"/>
  </bookViews>
  <sheets>
    <sheet name="UE 08.1" sheetId="1" state="visible" r:id="rId2"/>
    <sheet name="UE 08.2" sheetId="2" state="visible" r:id="rId3"/>
    <sheet name="UE 08.3." sheetId="3" state="visible" r:id="rId4"/>
    <sheet name="UE 08.4." sheetId="4" state="visible" r:id="rId5"/>
    <sheet name="UE 08.5." sheetId="5" state="visible" r:id="rId6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tc={00690061-0046-49F9-A54D-001600B900CD}</author>
    <author>tc={00B50003-0074-4BC0-AC63-0002006900CC}</author>
  </authors>
  <commentList>
    <comment ref="A4" authorId="0" xr:uid="{00690061-0046-49F9-A54D-001600B900CD}">
      <text>
        <r>
          <rPr>
            <b/>
            <sz val="9"/>
            <rFont val="Tahoma"/>
          </rPr>
          <t>tc={FBADFD58-0062-460C-B478-BF0E1A561B1D}:</t>
        </r>
        <r>
          <rPr>
            <sz val="9"/>
            <rFont val="Tahoma"/>
          </rPr>
          <t xml:space="preserve">
Hinterholzer Stefan:
Sie heißen deshalb Erfolgszahlungen weil sie nicht nur zahlungswirksam sondern auch erfolgswirksam sind (d.h. sie verändern das Ergebnis - Gewinn oder Verlust)
</t>
        </r>
      </text>
    </comment>
    <comment ref="A9" authorId="1" xr:uid="{00B50003-0074-4BC0-AC63-0002006900CC}">
      <text>
        <r>
          <rPr>
            <b/>
            <sz val="9"/>
            <rFont val="Tahoma"/>
          </rPr>
          <t>tc={9B535F7F-7001-6361-A1B5-D14391AC019A}:</t>
        </r>
        <r>
          <rPr>
            <sz val="9"/>
            <rFont val="Tahoma"/>
          </rPr>
          <t xml:space="preserve">
Hinterholzer Stefan:
Sie heißen deshalb Erfolgszahlungen weil sie nicht nur zahlungswirksam sondern auch erfolgswirksam sind (d.h. sie verändern das Ergebnis - Gewinn oder Verlust)
</t>
        </r>
      </text>
    </comment>
  </commentList>
</comments>
</file>

<file path=xl/sharedStrings.xml><?xml version="1.0" encoding="utf-8"?>
<sst xmlns="http://schemas.openxmlformats.org/spreadsheetml/2006/main" count="75" uniqueCount="75">
  <si>
    <t>UE08.1</t>
  </si>
  <si>
    <t xml:space="preserve">in €</t>
  </si>
  <si>
    <t xml:space="preserve">Variante 1</t>
  </si>
  <si>
    <t xml:space="preserve">Variante 2</t>
  </si>
  <si>
    <r>
      <rPr>
        <sz val="11"/>
        <color theme="1"/>
        <rFont val="Calibri"/>
      </rPr>
      <t xml:space="preserve">Anschaffungswert (I</t>
    </r>
    <r>
      <rPr>
        <vertAlign val="subscript"/>
        <sz val="11"/>
        <color theme="1"/>
        <rFont val="Calibri"/>
      </rPr>
      <t>0</t>
    </r>
    <r>
      <rPr>
        <sz val="11"/>
        <color theme="1"/>
        <rFont val="Calibri"/>
      </rPr>
      <t>)</t>
    </r>
  </si>
  <si>
    <t xml:space="preserve">Nutzungsdauer (Jahre)</t>
  </si>
  <si>
    <t xml:space="preserve">Gewinn Jahr 1</t>
  </si>
  <si>
    <t xml:space="preserve">Gewinn Jahr 2</t>
  </si>
  <si>
    <t xml:space="preserve">Gewinn Jahr 3</t>
  </si>
  <si>
    <t xml:space="preserve">Gewinn Jahr 4</t>
  </si>
  <si>
    <t xml:space="preserve">Gewinn Jahr 5</t>
  </si>
  <si>
    <t xml:space="preserve">Cashflow Jahr 1</t>
  </si>
  <si>
    <t xml:space="preserve">Cashflow Jahr 2</t>
  </si>
  <si>
    <t xml:space="preserve">Cashflow Jahr 3</t>
  </si>
  <si>
    <t xml:space="preserve">Cashflow Jahr 4</t>
  </si>
  <si>
    <t xml:space="preserve">Cashflow Jahr 5</t>
  </si>
  <si>
    <t xml:space="preserve">avg Cashflow / year</t>
  </si>
  <si>
    <t xml:space="preserve">Statische Amortisation</t>
  </si>
  <si>
    <t>UE08.2</t>
  </si>
  <si>
    <t>Einheit</t>
  </si>
  <si>
    <r>
      <rPr>
        <sz val="11"/>
        <color theme="1"/>
        <rFont val="Calibri"/>
      </rPr>
      <t xml:space="preserve">"Anschaffungswert (I</t>
    </r>
    <r>
      <rPr>
        <vertAlign val="subscript"/>
        <sz val="11"/>
        <color theme="1"/>
        <rFont val="Calibri"/>
      </rPr>
      <t>0</t>
    </r>
    <r>
      <rPr>
        <sz val="11"/>
        <color theme="1"/>
        <rFont val="Calibri"/>
      </rPr>
      <t>)"</t>
    </r>
  </si>
  <si>
    <t>Nutzungsdauer</t>
  </si>
  <si>
    <t>Jahre</t>
  </si>
  <si>
    <t>Einzahlungen</t>
  </si>
  <si>
    <t>€/Stück</t>
  </si>
  <si>
    <t xml:space="preserve">gesamte Menge pro Jahr</t>
  </si>
  <si>
    <t>Stück</t>
  </si>
  <si>
    <t xml:space="preserve">Fixe Auszahlungen </t>
  </si>
  <si>
    <t>€/Jahr</t>
  </si>
  <si>
    <t xml:space="preserve">variable Auszahlungen</t>
  </si>
  <si>
    <t xml:space="preserve">Einzahlungen (Erfolgszahlungen)</t>
  </si>
  <si>
    <t xml:space="preserve">-Auszahlungen (Erfolgszahlungen)</t>
  </si>
  <si>
    <t xml:space="preserve">Cash Flow</t>
  </si>
  <si>
    <t>Amortisationszeit</t>
  </si>
  <si>
    <t>UE08.3</t>
  </si>
  <si>
    <t xml:space="preserve">Anschaffungswert 100k</t>
  </si>
  <si>
    <t>t1</t>
  </si>
  <si>
    <t>t2</t>
  </si>
  <si>
    <t>t3</t>
  </si>
  <si>
    <t>t4</t>
  </si>
  <si>
    <t>t5</t>
  </si>
  <si>
    <t xml:space="preserve">Auszahlungen (Erfolgszahlungen)</t>
  </si>
  <si>
    <t xml:space="preserve">Ermittlung Cashflow</t>
  </si>
  <si>
    <t>Jahr</t>
  </si>
  <si>
    <t>Zinssatz</t>
  </si>
  <si>
    <t xml:space="preserve">Diskontierter Cashflow</t>
  </si>
  <si>
    <t xml:space="preserve">Summe diskontierter Cashflow</t>
  </si>
  <si>
    <t>Anschaffungswert</t>
  </si>
  <si>
    <t>Kapitalwert</t>
  </si>
  <si>
    <t>UE08.4</t>
  </si>
  <si>
    <r>
      <rPr>
        <sz val="11"/>
        <color theme="1"/>
        <rFont val="Calibri"/>
      </rPr>
      <t>t</t>
    </r>
    <r>
      <rPr>
        <vertAlign val="subscript"/>
        <sz val="11"/>
        <color theme="1"/>
        <rFont val="Calibri"/>
      </rPr>
      <t>1</t>
    </r>
  </si>
  <si>
    <r>
      <rPr>
        <sz val="11"/>
        <color theme="1"/>
        <rFont val="Calibri"/>
      </rPr>
      <t>t</t>
    </r>
    <r>
      <rPr>
        <vertAlign val="subscript"/>
        <sz val="11"/>
        <color theme="1"/>
        <rFont val="Calibri"/>
      </rPr>
      <t>2</t>
    </r>
  </si>
  <si>
    <r>
      <rPr>
        <sz val="11"/>
        <color theme="1"/>
        <rFont val="Calibri"/>
      </rPr>
      <t>t</t>
    </r>
    <r>
      <rPr>
        <vertAlign val="subscript"/>
        <sz val="11"/>
        <color theme="1"/>
        <rFont val="Calibri"/>
      </rPr>
      <t>3</t>
    </r>
  </si>
  <si>
    <r>
      <rPr>
        <sz val="11"/>
        <color theme="1"/>
        <rFont val="Calibri"/>
      </rPr>
      <t>t</t>
    </r>
    <r>
      <rPr>
        <vertAlign val="subscript"/>
        <sz val="11"/>
        <color theme="1"/>
        <rFont val="Calibri"/>
      </rPr>
      <t>4</t>
    </r>
  </si>
  <si>
    <r>
      <rPr>
        <sz val="11"/>
        <color theme="1"/>
        <rFont val="Calibri"/>
      </rPr>
      <t>t</t>
    </r>
    <r>
      <rPr>
        <vertAlign val="subscript"/>
        <sz val="11"/>
        <color theme="1"/>
        <rFont val="Calibri"/>
      </rPr>
      <t>5</t>
    </r>
  </si>
  <si>
    <r>
      <rPr>
        <sz val="11"/>
        <color theme="1"/>
        <rFont val="Calibri"/>
      </rPr>
      <t>t</t>
    </r>
    <r>
      <rPr>
        <vertAlign val="subscript"/>
        <sz val="11"/>
        <color theme="1"/>
        <rFont val="Calibri"/>
      </rPr>
      <t>6</t>
    </r>
  </si>
  <si>
    <r>
      <rPr>
        <sz val="11"/>
        <color theme="1"/>
        <rFont val="Calibri"/>
      </rPr>
      <t>t</t>
    </r>
    <r>
      <rPr>
        <vertAlign val="subscript"/>
        <sz val="11"/>
        <color theme="1"/>
        <rFont val="Calibri"/>
      </rPr>
      <t>7</t>
    </r>
  </si>
  <si>
    <r>
      <rPr>
        <sz val="11"/>
        <color theme="1"/>
        <rFont val="Calibri"/>
      </rPr>
      <t>t</t>
    </r>
    <r>
      <rPr>
        <vertAlign val="subscript"/>
        <sz val="11"/>
        <color theme="1"/>
        <rFont val="Calibri"/>
      </rPr>
      <t>8</t>
    </r>
  </si>
  <si>
    <t xml:space="preserve">Jährlicher Cashflow</t>
  </si>
  <si>
    <t>Nettobarwert</t>
  </si>
  <si>
    <t xml:space="preserve">Berücksichtigung Liquiditionserlös</t>
  </si>
  <si>
    <t xml:space="preserve">NBW + Liquiditionserlös</t>
  </si>
  <si>
    <t xml:space="preserve">Interpretation: Ohne Berücksichtigung des Liquiditionserlös lohnt sich die Investition nur bei 4% Zinsen.</t>
  </si>
  <si>
    <t xml:space="preserve">Ansonsten lohnt sich die Investition bei 4, 6, und 8% Zinsen, jedoch nicht bei 10 % Zinsen.</t>
  </si>
  <si>
    <t xml:space="preserve">Unterschied Nettobarwert und Barwert</t>
  </si>
  <si>
    <t>UE08.5</t>
  </si>
  <si>
    <t>Liquidiationserlös</t>
  </si>
  <si>
    <t xml:space="preserve">Cashflow Jahr 6</t>
  </si>
  <si>
    <t xml:space="preserve">// Cashflow + Liquiditionserlös</t>
  </si>
  <si>
    <t>Effektivverzinsung</t>
  </si>
  <si>
    <t xml:space="preserve">NBW (als Test)</t>
  </si>
  <si>
    <t>b)</t>
  </si>
  <si>
    <t xml:space="preserve">Variante 2 ist besser. Dadurch dass der interne Zinsfuß höher ist, ist der Gesamtgewinn höher.</t>
  </si>
  <si>
    <t xml:space="preserve">Das ist vor allem deshalb so, weil die Cashflows bei Variante 2 eher in den ersten Jahren gemacht werden,</t>
  </si>
  <si>
    <t xml:space="preserve">dadurch werden diese Cashflows weniger abgezinst.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</si>
</sst>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4" formatCode="_-&quot;€ &quot;* #,##0_-;&quot;-€ &quot;* #,##0_-;_-&quot;€ &quot;* \-_-;_-@_-"/>
    <numFmt numFmtId="165" formatCode="_-&quot;€ &quot;* #,##0.00_-;&quot;-€ &quot;* #,##0.00_-;_-&quot;€ &quot;* \-??_-;_-@_-"/>
    <numFmt numFmtId="166" formatCode="&quot;€ &quot;#,##0"/>
    <numFmt numFmtId="167" formatCode="_-* #,##0.00\ [$€-407]_-;\-* #,##0.00\ [$€-407]_-;_-* \-??\ [$€-407]_-;_-@_-"/>
    <numFmt numFmtId="168" formatCode="#,##0.00\ [$€-407]"/>
  </numFmts>
  <fonts count="4">
    <font>
      <sz val="11.000000"/>
      <color theme="1"/>
      <name val="Calibri"/>
    </font>
    <font>
      <sz val="10.000000"/>
      <name val="Arial"/>
    </font>
    <font>
      <b/>
      <sz val="11.000000"/>
      <color theme="0"/>
      <name val="Calibri"/>
    </font>
    <font>
      <sz val="11.000000"/>
      <color indexed="2"/>
      <name val="Calibri"/>
    </font>
  </fonts>
  <fills count="6">
    <fill>
      <patternFill patternType="none"/>
    </fill>
    <fill>
      <patternFill patternType="gray125"/>
    </fill>
    <fill>
      <patternFill patternType="solid">
        <fgColor theme="4" tint="0.59989999999999999"/>
        <bgColor indexed="22"/>
      </patternFill>
    </fill>
    <fill>
      <patternFill patternType="solid">
        <fgColor theme="4" tint="0.79990000000000006"/>
        <bgColor indexed="27"/>
      </patternFill>
    </fill>
    <fill>
      <patternFill patternType="solid">
        <fgColor theme="1"/>
        <bgColor indexed="58"/>
      </patternFill>
    </fill>
    <fill>
      <patternFill patternType="solid">
        <fgColor theme="4"/>
        <bgColor indexed="55"/>
      </patternFill>
    </fill>
  </fills>
  <borders count="4">
    <border>
      <left style="none"/>
      <right style="none"/>
      <top style="none"/>
      <bottom style="none"/>
      <diagonal style="none"/>
    </border>
    <border>
      <left style="none"/>
      <right style="none"/>
      <top style="thin">
        <color theme="4" tint="0.39989999999999998"/>
      </top>
      <bottom style="thin">
        <color theme="4" tint="0.39989999999999998"/>
      </bottom>
      <diagonal style="none"/>
    </border>
    <border>
      <left style="none"/>
      <right style="thin">
        <color theme="4" tint="0.39989999999999998"/>
      </right>
      <top style="thin">
        <color theme="4" tint="0.39989999999999998"/>
      </top>
      <bottom style="thin">
        <color theme="4" tint="0.39989999999999998"/>
      </bottom>
      <diagonal style="none"/>
    </border>
    <border>
      <left style="none"/>
      <right style="none"/>
      <top style="none"/>
      <bottom style="thin">
        <color theme="1"/>
      </bottom>
      <diagonal style="none"/>
    </border>
  </borders>
  <cellStyleXfs count="8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  <xf fontId="0" fillId="2" borderId="0" numFmtId="0" applyNumberFormat="1" applyFont="1" applyFill="1" applyBorder="0" applyProtection="0"/>
    <xf fontId="0" fillId="3" borderId="0" numFmtId="0" applyNumberFormat="1" applyFont="1" applyFill="1" applyBorder="0" applyProtection="0"/>
  </cellStyleXfs>
  <cellXfs count="22">
    <xf fontId="0" fillId="0" borderId="0" numFmtId="0" xfId="0" applyProtection="0">
      <protection hidden="0" locked="1"/>
    </xf>
    <xf fontId="2" fillId="4" borderId="0" numFmtId="0" xfId="0" applyFont="1" applyFill="1" applyProtection="0">
      <protection hidden="0" locked="1"/>
    </xf>
    <xf fontId="0" fillId="0" borderId="0" numFmtId="0" xfId="0" applyProtection="0">
      <protection hidden="0" locked="1"/>
    </xf>
    <xf fontId="0" fillId="0" borderId="0" numFmtId="164" xfId="0" applyNumberFormat="1" applyProtection="0">
      <protection hidden="0" locked="1"/>
    </xf>
    <xf fontId="0" fillId="0" borderId="0" numFmtId="3" xfId="0" applyNumberFormat="1" applyProtection="0">
      <protection hidden="0" locked="1"/>
    </xf>
    <xf fontId="0" fillId="0" borderId="0" numFmtId="165" xfId="0" applyNumberFormat="1" applyProtection="0">
      <protection hidden="0" locked="1"/>
    </xf>
    <xf fontId="2" fillId="5" borderId="1" numFmtId="0" xfId="0" applyFont="1" applyFill="1" applyBorder="1" applyProtection="0">
      <protection hidden="0" locked="1"/>
    </xf>
    <xf fontId="2" fillId="5" borderId="2" numFmtId="0" xfId="0" applyFont="1" applyFill="1" applyBorder="1" applyProtection="0">
      <protection hidden="0" locked="1"/>
    </xf>
    <xf fontId="0" fillId="0" borderId="3" numFmtId="0" xfId="0" applyBorder="1" applyProtection="0">
      <protection hidden="0" locked="1"/>
    </xf>
    <xf fontId="0" fillId="0" borderId="3" numFmtId="165" xfId="0" applyNumberFormat="1" applyBorder="1" applyProtection="0">
      <protection hidden="0" locked="1"/>
    </xf>
    <xf fontId="3" fillId="0" borderId="0" numFmtId="0" xfId="0" applyFont="1" applyProtection="0">
      <protection hidden="0" locked="1"/>
    </xf>
    <xf fontId="0" fillId="0" borderId="0" numFmtId="0" xfId="0" applyProtection="1">
      <protection hidden="0" locked="1"/>
    </xf>
    <xf fontId="0" fillId="0" borderId="0" numFmtId="10" xfId="0" applyNumberFormat="1" applyProtection="0">
      <protection hidden="0" locked="1"/>
    </xf>
    <xf fontId="0" fillId="0" borderId="0" numFmtId="1" xfId="0" applyNumberFormat="1" applyProtection="0">
      <protection hidden="0" locked="1"/>
    </xf>
    <xf fontId="0" fillId="0" borderId="0" numFmtId="166" xfId="0" applyNumberFormat="1" applyProtection="0">
      <protection hidden="0" locked="1"/>
    </xf>
    <xf fontId="0" fillId="2" borderId="0" numFmtId="166" xfId="6" applyNumberFormat="1" applyFill="1" applyProtection="1">
      <protection hidden="0" locked="1"/>
    </xf>
    <xf fontId="0" fillId="3" borderId="0" numFmtId="0" xfId="7" applyFill="1" applyProtection="1">
      <protection hidden="0" locked="1"/>
    </xf>
    <xf fontId="0" fillId="3" borderId="0" numFmtId="166" xfId="7" applyNumberFormat="1" applyFill="1" applyProtection="1">
      <protection hidden="0" locked="1"/>
    </xf>
    <xf fontId="0" fillId="0" borderId="0" numFmtId="9" xfId="0" applyNumberFormat="1" applyProtection="0">
      <protection hidden="0" locked="1"/>
    </xf>
    <xf fontId="0" fillId="0" borderId="0" numFmtId="167" xfId="0" applyNumberFormat="1" applyProtection="0">
      <protection hidden="0" locked="1"/>
    </xf>
    <xf fontId="0" fillId="0" borderId="0" numFmtId="168" xfId="0" applyNumberFormat="1" applyProtection="0">
      <protection hidden="0" locked="1"/>
    </xf>
    <xf fontId="0" fillId="0" borderId="0" numFmtId="168" xfId="0" applyNumberFormat="1" applyProtection="1">
      <protection hidden="0" locked="1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Excel Built-in 40% - Accent1" xfId="6"/>
    <cellStyle name="Excel Built-in 20% - Accent1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c={FBADFD58-0062-460C-B478-BF0E1A561B1D}" id="{63C7E678-22C4-6457-5C49-0EF79DFBE663}"/>
  <person displayName="tc={9B535F7F-7001-6361-A1B5-D14391AC019A}" id="{F4FFD76F-F618-96C6-6DC7-742AFC37E144}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A3:C10" headerRowCount="1" totalsRowCount="0">
  <autoFilter ref="A3:C10"/>
  <tableColumns count="3">
    <tableColumn id="1" name="in €"/>
    <tableColumn id="2" name="Variante 1"/>
    <tableColumn id="3" name="Variante 2"/>
  </tableColumns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le13" ref="A3:D9" headerRowCount="1" totalsRowCount="0">
  <autoFilter ref="A3:D9"/>
  <tableColumns count="4">
    <tableColumn id="1" name="in €"/>
    <tableColumn id="2" name="Einheit"/>
    <tableColumn id="3" name="Variante 1"/>
    <tableColumn id="4" name="Variante 2"/>
  </tableColumns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Table2" ref="A8:F11" headerRowCount="1" totalsRowCount="0">
  <autoFilter ref="A8:F11"/>
  <tableColumns count="6">
    <tableColumn id="1" name="Ermittlung Cashflow"/>
    <tableColumn id="2" name="t1"/>
    <tableColumn id="3" name="t2"/>
    <tableColumn id="4" name="t3"/>
    <tableColumn id="5" name="t4"/>
    <tableColumn id="6" name="t5"/>
  </tableColumns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Table3" ref="A3:F5" headerRowCount="1" totalsRowCount="0">
  <autoFilter ref="A3:F5"/>
  <tableColumns count="6">
    <tableColumn id="1" name="Jahre"/>
    <tableColumn id="2" name="t1"/>
    <tableColumn id="3" name="t2"/>
    <tableColumn id="4" name="t3"/>
    <tableColumn id="5" name="t4"/>
    <tableColumn id="6" name="t5"/>
  </tableColumns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" personId="{63C7E678-22C4-6457-5C49-0EF79DFBE663}" id="{00690061-0046-49F9-A54D-001600B900CD}" done="0">
    <text xml:space="preserve">Hinterholzer Stefan:
Sie heißen deshalb Erfolgszahlungen weil sie nicht nur zahlungswirksam sondern auch erfolgswirksam sind (d.h. sie verändern das Ergebnis - Gewinn oder Verlust)
</text>
  </threadedComment>
  <threadedComment ref="A9" personId="{F4FFD76F-F618-96C6-6DC7-742AFC37E144}" id="{00B50003-0074-4BC0-AC63-0002006900CC}" done="0">
    <text xml:space="preserve">Hinterholzer Stefan:
Sie heißen deshalb Erfolgszahlungen weil sie nicht nur zahlungswirksam sondern auch erfolgswirksam sind (d.h. sie verändern das Ergebnis - Gewinn oder Verlust)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Relationship  Id="rId4" Type="http://schemas.openxmlformats.org/officeDocument/2006/relationships/table" Target="../tables/table3.xml"/><Relationship 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4.25"/>
  <cols>
    <col customWidth="1" min="1" max="1" style="0" width="21.329999999999998"/>
    <col customWidth="1" min="2" max="2" style="0" width="17.109999999999999"/>
    <col customWidth="1" min="3" max="3" style="0" width="18.109999999999999"/>
  </cols>
  <sheetData>
    <row r="1" ht="14.25">
      <c r="A1" s="1" t="s">
        <v>0</v>
      </c>
    </row>
    <row r="3" ht="14.25">
      <c r="A3" s="2" t="s">
        <v>1</v>
      </c>
      <c r="B3" s="2" t="s">
        <v>2</v>
      </c>
      <c r="C3" s="2" t="s">
        <v>3</v>
      </c>
    </row>
    <row r="4" ht="14.9">
      <c r="A4" t="s">
        <v>4</v>
      </c>
      <c r="B4" s="3">
        <v>100000</v>
      </c>
      <c r="C4" s="3">
        <v>100000</v>
      </c>
    </row>
    <row r="5" ht="14.25">
      <c r="A5" t="s">
        <v>5</v>
      </c>
      <c r="B5">
        <v>5</v>
      </c>
      <c r="C5">
        <v>5</v>
      </c>
    </row>
    <row r="6" ht="14.25">
      <c r="A6" t="s">
        <v>6</v>
      </c>
      <c r="B6" s="3">
        <v>5000</v>
      </c>
      <c r="C6" s="3">
        <v>20000</v>
      </c>
    </row>
    <row r="7" ht="14.25">
      <c r="A7" t="s">
        <v>7</v>
      </c>
      <c r="B7" s="3">
        <v>10000</v>
      </c>
      <c r="C7" s="3">
        <v>15000</v>
      </c>
    </row>
    <row r="8" ht="14.25">
      <c r="A8" t="s">
        <v>8</v>
      </c>
      <c r="B8" s="3">
        <v>15000</v>
      </c>
      <c r="C8" s="3">
        <v>5000</v>
      </c>
    </row>
    <row r="9" ht="14.25">
      <c r="A9" t="s">
        <v>9</v>
      </c>
      <c r="B9" s="3">
        <v>15000</v>
      </c>
      <c r="C9" s="3">
        <v>5000</v>
      </c>
    </row>
    <row r="10" ht="14.25">
      <c r="A10" t="s">
        <v>10</v>
      </c>
      <c r="B10" s="3">
        <v>20000</v>
      </c>
      <c r="C10" s="3">
        <v>5000</v>
      </c>
    </row>
    <row r="12" ht="14.25">
      <c r="A12" t="s">
        <v>11</v>
      </c>
      <c r="B12" s="3">
        <f t="shared" ref="B12:B15" si="0">B6+$B$4/$B$5</f>
        <v>25000</v>
      </c>
      <c r="C12" s="3">
        <f t="shared" ref="C12:C15" si="1">C6+$C$4/$C$5</f>
        <v>40000</v>
      </c>
    </row>
    <row r="13" ht="14.25">
      <c r="A13" s="2" t="s">
        <v>12</v>
      </c>
      <c r="B13" s="3">
        <f t="shared" si="0"/>
        <v>30000</v>
      </c>
      <c r="C13" s="3">
        <f t="shared" si="1"/>
        <v>35000</v>
      </c>
    </row>
    <row r="14" ht="14.25">
      <c r="A14" s="2" t="s">
        <v>13</v>
      </c>
      <c r="B14" s="3">
        <f t="shared" si="0"/>
        <v>35000</v>
      </c>
      <c r="C14" s="3">
        <f t="shared" si="1"/>
        <v>25000</v>
      </c>
    </row>
    <row r="15" ht="14.25">
      <c r="A15" s="2" t="s">
        <v>14</v>
      </c>
      <c r="B15" s="3">
        <f t="shared" si="0"/>
        <v>35000</v>
      </c>
      <c r="C15" s="3">
        <f t="shared" si="1"/>
        <v>25000</v>
      </c>
    </row>
    <row r="16" ht="14.25">
      <c r="A16" s="2" t="s">
        <v>15</v>
      </c>
      <c r="B16" s="3">
        <f>B10+$B$4/$B$5</f>
        <v>40000</v>
      </c>
      <c r="C16" s="3">
        <f>C10+$C$4/$C$5</f>
        <v>25000</v>
      </c>
    </row>
    <row r="18" ht="14.25">
      <c r="A18" t="s">
        <v>16</v>
      </c>
      <c r="B18" s="3">
        <f>AVERAGE(B12:B16)</f>
        <v>33000</v>
      </c>
      <c r="C18" s="3">
        <f>AVERAGE(C12:C16)</f>
        <v>30000</v>
      </c>
    </row>
    <row r="20" ht="14.25">
      <c r="A20" t="s">
        <v>17</v>
      </c>
      <c r="B20">
        <f>B4/B18</f>
        <v>3.0303030303030298</v>
      </c>
      <c r="C20">
        <f>C4/C18</f>
        <v>3.3333333333333299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4.25"/>
  <cols>
    <col customWidth="1" min="1" max="1" style="0" width="29.109999999999999"/>
    <col customWidth="1" min="2" max="2" style="0" width="13.34"/>
    <col customWidth="1" min="3" max="4" style="0" width="13.220000000000001"/>
  </cols>
  <sheetData>
    <row r="1" ht="14.25">
      <c r="A1" s="1" t="s">
        <v>18</v>
      </c>
      <c r="B1" s="1"/>
    </row>
    <row r="3" ht="14.25">
      <c r="A3" s="2" t="s">
        <v>1</v>
      </c>
      <c r="B3" s="2" t="s">
        <v>19</v>
      </c>
      <c r="C3" s="2" t="s">
        <v>2</v>
      </c>
      <c r="D3" s="2" t="s">
        <v>3</v>
      </c>
    </row>
    <row r="4" ht="14.9">
      <c r="A4" t="s">
        <v>20</v>
      </c>
      <c r="C4" s="3">
        <v>200000</v>
      </c>
      <c r="D4" s="3">
        <v>100000</v>
      </c>
    </row>
    <row r="5" ht="14.25">
      <c r="A5" t="s">
        <v>21</v>
      </c>
      <c r="B5" t="s">
        <v>22</v>
      </c>
      <c r="C5">
        <v>10</v>
      </c>
      <c r="D5">
        <v>10</v>
      </c>
    </row>
    <row r="6" ht="14.25">
      <c r="A6" t="s">
        <v>23</v>
      </c>
      <c r="B6" t="s">
        <v>24</v>
      </c>
      <c r="C6" s="3">
        <v>15</v>
      </c>
      <c r="D6" s="3">
        <v>20</v>
      </c>
    </row>
    <row r="7" ht="14.25">
      <c r="A7" t="s">
        <v>25</v>
      </c>
      <c r="B7" t="s">
        <v>26</v>
      </c>
      <c r="C7" s="4">
        <v>20000</v>
      </c>
      <c r="D7" s="4">
        <v>15000</v>
      </c>
    </row>
    <row r="8" ht="14.25">
      <c r="A8" t="s">
        <v>27</v>
      </c>
      <c r="B8" t="s">
        <v>28</v>
      </c>
      <c r="C8" s="3">
        <v>20000</v>
      </c>
      <c r="D8" s="3">
        <v>30000</v>
      </c>
    </row>
    <row r="9" ht="14.25">
      <c r="A9" t="s">
        <v>29</v>
      </c>
      <c r="B9" t="s">
        <v>24</v>
      </c>
      <c r="C9" s="5">
        <v>12.5</v>
      </c>
      <c r="D9" s="5">
        <v>15</v>
      </c>
    </row>
    <row r="11" ht="14.25">
      <c r="C11" s="6" t="s">
        <v>2</v>
      </c>
      <c r="D11" s="7" t="s">
        <v>3</v>
      </c>
    </row>
    <row r="12" ht="14.25">
      <c r="A12" t="s">
        <v>30</v>
      </c>
      <c r="C12">
        <f>C6*C7</f>
        <v>300000</v>
      </c>
      <c r="D12">
        <f>D6*D7</f>
        <v>300000</v>
      </c>
    </row>
    <row r="13" ht="14.25">
      <c r="A13" s="8" t="s">
        <v>31</v>
      </c>
      <c r="B13" s="8"/>
      <c r="C13" s="9">
        <f>C9*C7+C8</f>
        <v>270000</v>
      </c>
      <c r="D13" s="9">
        <f>D9*D7+D8</f>
        <v>255000</v>
      </c>
    </row>
    <row r="14" ht="14.25">
      <c r="A14" s="10" t="s">
        <v>32</v>
      </c>
      <c r="C14">
        <f>C12-C13</f>
        <v>30000</v>
      </c>
      <c r="D14">
        <f>D12-D13</f>
        <v>45000</v>
      </c>
    </row>
    <row r="16" ht="14.25">
      <c r="A16" t="s">
        <v>33</v>
      </c>
      <c r="C16">
        <f>C4/C14</f>
        <v>6.6666666666666696</v>
      </c>
      <c r="D16">
        <f>D4/D14</f>
        <v>2.2222222222222201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9" activeCellId="0" sqref="A9"/>
    </sheetView>
  </sheetViews>
  <sheetFormatPr defaultColWidth="8.6796875" defaultRowHeight="14.25"/>
  <cols>
    <col customWidth="1" min="1" max="1" style="0" width="30.559999999999999"/>
  </cols>
  <sheetData>
    <row r="1" ht="14.25">
      <c r="A1" s="1" t="s">
        <v>34</v>
      </c>
      <c r="C1" t="s">
        <v>35</v>
      </c>
    </row>
    <row r="2" ht="14.25">
      <c r="A2" s="1"/>
    </row>
    <row r="3" ht="14.25">
      <c r="A3" s="2" t="s">
        <v>22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40</v>
      </c>
    </row>
    <row r="4" ht="14.25">
      <c r="A4" t="s">
        <v>41</v>
      </c>
      <c r="B4" s="4">
        <v>85000</v>
      </c>
      <c r="C4" s="4">
        <v>70000</v>
      </c>
      <c r="D4" s="4">
        <v>70000</v>
      </c>
      <c r="E4" s="4">
        <v>65000</v>
      </c>
      <c r="F4" s="4">
        <v>80000</v>
      </c>
    </row>
    <row r="5" ht="14.25">
      <c r="A5" t="s">
        <v>30</v>
      </c>
      <c r="B5" s="4">
        <v>110000</v>
      </c>
      <c r="C5" s="4">
        <v>95000</v>
      </c>
      <c r="D5" s="4">
        <v>105000</v>
      </c>
      <c r="E5" s="4">
        <v>100000</v>
      </c>
      <c r="F5" s="4">
        <v>90000</v>
      </c>
    </row>
    <row r="8" ht="14.25">
      <c r="A8" s="11" t="s">
        <v>42</v>
      </c>
      <c r="B8" s="11" t="s">
        <v>36</v>
      </c>
      <c r="C8" s="11" t="s">
        <v>37</v>
      </c>
      <c r="D8" s="11" t="s">
        <v>38</v>
      </c>
      <c r="E8" s="11" t="s">
        <v>39</v>
      </c>
      <c r="F8" s="11" t="s">
        <v>40</v>
      </c>
    </row>
    <row r="9" ht="14.25">
      <c r="A9" s="11" t="s">
        <v>41</v>
      </c>
      <c r="B9" s="4">
        <f>B5-B4</f>
        <v>25000</v>
      </c>
      <c r="C9" s="4">
        <f>C5-C4</f>
        <v>25000</v>
      </c>
      <c r="D9" s="4">
        <f>D5-D4</f>
        <v>35000</v>
      </c>
      <c r="E9" s="4">
        <f>E5-E4</f>
        <v>35000</v>
      </c>
      <c r="F9" s="4">
        <f>F5-F4</f>
        <v>10000</v>
      </c>
    </row>
    <row r="10" ht="14.25">
      <c r="A10" s="11" t="s">
        <v>43</v>
      </c>
      <c r="B10" s="4">
        <v>1</v>
      </c>
      <c r="C10" s="4">
        <v>2</v>
      </c>
      <c r="D10" s="4">
        <v>3</v>
      </c>
      <c r="E10" s="4">
        <v>4</v>
      </c>
      <c r="F10" s="4">
        <v>5</v>
      </c>
    </row>
    <row r="11" ht="14.25">
      <c r="A11" t="s">
        <v>44</v>
      </c>
      <c r="B11" s="12">
        <v>0.080000000000000002</v>
      </c>
    </row>
    <row r="14" ht="14.25">
      <c r="A14" t="s">
        <v>45</v>
      </c>
      <c r="B14" s="13">
        <f>B9/(1+$B$11)^B10</f>
        <v>23148.148148148099</v>
      </c>
      <c r="C14" s="13">
        <f>C9/(1+$B$11)^C10</f>
        <v>21433.4705075446</v>
      </c>
      <c r="D14" s="13">
        <f>D9/(1+$B$11)^D10</f>
        <v>27784.128435705901</v>
      </c>
      <c r="E14" s="13">
        <f>E9/(1+$B$11)^E10</f>
        <v>25726.044847875899</v>
      </c>
      <c r="F14" s="13">
        <f>F9/(1+$B$11)^F10</f>
        <v>6805.83197033753</v>
      </c>
    </row>
    <row r="16" ht="14.25">
      <c r="A16" t="s">
        <v>46</v>
      </c>
      <c r="B16" s="13">
        <f>SUM(B14:F14)</f>
        <v>104897.623909612</v>
      </c>
    </row>
    <row r="17" ht="14.25">
      <c r="A17" t="s">
        <v>47</v>
      </c>
      <c r="B17">
        <v>100000</v>
      </c>
    </row>
    <row r="18" ht="14.25">
      <c r="A18" t="s">
        <v>48</v>
      </c>
      <c r="B18" s="13">
        <f>B16-B17</f>
        <v>4897.6239096120598</v>
      </c>
    </row>
    <row r="19" ht="14.25">
      <c r="D19">
        <f>NPV(B11,B9:F9)</f>
        <v>104897.623909612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legacyDrawing r:id="rId3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E29" activeCellId="0" sqref="E29"/>
    </sheetView>
  </sheetViews>
  <sheetFormatPr defaultColWidth="8.6796875" defaultRowHeight="14.25"/>
  <cols>
    <col customWidth="1" min="1" max="1" style="0" width="29.59"/>
    <col customWidth="1" min="2" max="5" style="0" width="13.279999999999999"/>
  </cols>
  <sheetData>
    <row r="1" ht="14.25">
      <c r="A1" s="1" t="s">
        <v>49</v>
      </c>
    </row>
    <row r="3" ht="14.25">
      <c r="A3" t="s">
        <v>47</v>
      </c>
      <c r="B3" s="14">
        <v>200000</v>
      </c>
    </row>
    <row r="4" ht="14.25">
      <c r="B4" s="14"/>
    </row>
    <row r="5" ht="14.9">
      <c r="B5" s="15" t="s">
        <v>50</v>
      </c>
      <c r="C5" s="15" t="s">
        <v>51</v>
      </c>
      <c r="D5" s="15" t="s">
        <v>52</v>
      </c>
      <c r="E5" s="15" t="s">
        <v>53</v>
      </c>
      <c r="F5" s="15" t="s">
        <v>54</v>
      </c>
      <c r="G5" s="15" t="s">
        <v>55</v>
      </c>
      <c r="H5" s="15" t="s">
        <v>56</v>
      </c>
      <c r="I5" s="15" t="s">
        <v>57</v>
      </c>
    </row>
    <row r="6" ht="14.25">
      <c r="A6" s="16" t="s">
        <v>58</v>
      </c>
      <c r="B6" s="17">
        <v>32000</v>
      </c>
      <c r="C6" s="17">
        <v>32000</v>
      </c>
      <c r="D6" s="17">
        <v>32000</v>
      </c>
      <c r="E6" s="17">
        <v>32000</v>
      </c>
      <c r="F6" s="17">
        <v>32000</v>
      </c>
      <c r="G6" s="17">
        <v>32000</v>
      </c>
      <c r="H6" s="17">
        <v>32000</v>
      </c>
      <c r="I6" s="17">
        <v>32000</v>
      </c>
      <c r="L6" s="14"/>
    </row>
    <row r="8" ht="14.25">
      <c r="A8" t="s">
        <v>44</v>
      </c>
      <c r="B8" s="18">
        <v>0.040000000000000001</v>
      </c>
      <c r="C8" s="18">
        <v>0.058299999999999998</v>
      </c>
      <c r="D8" s="18">
        <v>0.080000000000000002</v>
      </c>
      <c r="E8" s="18">
        <v>0.10000000000000001</v>
      </c>
    </row>
    <row r="10" ht="14.25">
      <c r="A10" t="s">
        <v>59</v>
      </c>
      <c r="B10" s="19">
        <f>NPV(B8,$B$6:$I$6)</f>
        <v>215447.83599841301</v>
      </c>
      <c r="C10" s="19">
        <f>NPV(C8,$B$6:$I$6)</f>
        <v>200057.30481711801</v>
      </c>
      <c r="D10" s="19">
        <f>NPV(D8,$B$6:$I$6)</f>
        <v>183892.44619921001</v>
      </c>
      <c r="E10" s="19">
        <f>NPV(E8,$B$6:$I$6)</f>
        <v>170717.63833288499</v>
      </c>
    </row>
    <row r="11" ht="14.25">
      <c r="A11" t="s">
        <v>60</v>
      </c>
      <c r="B11" s="20">
        <f>30000/(1+B8)^8</f>
        <v>21920.706150059501</v>
      </c>
      <c r="C11" s="20">
        <f>30000/(1+C8)^8</f>
        <v>19065.617933589401</v>
      </c>
      <c r="D11" s="20">
        <f>30000/(1+D8)^8</f>
        <v>16208.066535059301</v>
      </c>
      <c r="E11" s="20">
        <f>30000/(1+E8)^8</f>
        <v>13995.221406291999</v>
      </c>
    </row>
    <row r="12" ht="14.25">
      <c r="A12" t="s">
        <v>61</v>
      </c>
      <c r="B12" s="19">
        <f>SUM(B10:B11)</f>
        <v>237368.54214847201</v>
      </c>
      <c r="C12" s="19">
        <f>SUM(C10:C11)</f>
        <v>219122.92275070699</v>
      </c>
      <c r="D12" s="19">
        <f>SUM(D10:D11)</f>
        <v>200100.512734269</v>
      </c>
      <c r="E12" s="19">
        <f>SUM(E10:E11)</f>
        <v>184712.85973917699</v>
      </c>
    </row>
    <row r="14" ht="14.25">
      <c r="B14" t="s">
        <v>62</v>
      </c>
    </row>
    <row r="15" ht="14.25">
      <c r="B15" t="s">
        <v>63</v>
      </c>
    </row>
    <row r="19" ht="14.25">
      <c r="B19" t="s">
        <v>64</v>
      </c>
    </row>
  </sheetData>
  <printOptions headings="0" gridLines="0" horizontalCentered="0" verticalCentered="0"/>
  <pageMargins left="0.70078740157480324" right="0.70078740157480324" top="0.75196850393700787" bottom="0.75196850393700787" header="0.51181102362204689" footer="0.51181102362204689"/>
  <pageSetup paperSize="9" scale="100" fitToWidth="1" fitToHeight="1" pageOrder="downThenOver" orientation="landscape" usePrinterDefaults="1" blackAndWhite="0" draft="0" cellComments="none" useFirstPageNumber="0" errors="displayed" horizontalDpi="300" verticalDpi="3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A1" activeCellId="0" sqref="A1"/>
    </sheetView>
  </sheetViews>
  <sheetFormatPr defaultColWidth="8.6796875" defaultRowHeight="14.25"/>
  <cols>
    <col customWidth="1" min="1" max="1" style="0" width="17.149999999999999"/>
    <col customWidth="1" min="2" max="2" style="0" width="14"/>
    <col customWidth="1" min="3" max="3" style="0" width="14.880000000000001"/>
  </cols>
  <sheetData>
    <row r="1" ht="14.25">
      <c r="A1" s="1" t="s">
        <v>65</v>
      </c>
    </row>
    <row r="3" ht="14.25">
      <c r="A3" t="s">
        <v>1</v>
      </c>
      <c r="B3" t="s">
        <v>2</v>
      </c>
      <c r="C3" t="s">
        <v>3</v>
      </c>
    </row>
    <row r="6" ht="14.25">
      <c r="A6" t="s">
        <v>66</v>
      </c>
      <c r="B6" s="20">
        <v>5000</v>
      </c>
      <c r="C6" s="20">
        <v>6000</v>
      </c>
    </row>
    <row r="7" ht="14.25">
      <c r="B7" s="20"/>
      <c r="C7" s="20"/>
    </row>
    <row r="8" ht="14.25">
      <c r="A8" t="s">
        <v>47</v>
      </c>
      <c r="B8" s="20">
        <v>-100000</v>
      </c>
      <c r="C8" s="20">
        <v>-100000</v>
      </c>
    </row>
    <row r="9" ht="14.25">
      <c r="A9" t="s">
        <v>11</v>
      </c>
      <c r="B9" s="20">
        <v>20000</v>
      </c>
      <c r="C9" s="20">
        <v>25000</v>
      </c>
    </row>
    <row r="10" ht="14.25">
      <c r="A10" s="2" t="s">
        <v>12</v>
      </c>
      <c r="B10" s="20">
        <v>20000</v>
      </c>
      <c r="C10" s="21">
        <v>25000</v>
      </c>
    </row>
    <row r="11" ht="14.25">
      <c r="A11" s="2" t="s">
        <v>13</v>
      </c>
      <c r="B11" s="21">
        <v>20000</v>
      </c>
      <c r="C11" s="21">
        <v>23000</v>
      </c>
    </row>
    <row r="12" ht="14.25">
      <c r="A12" s="2" t="s">
        <v>14</v>
      </c>
      <c r="B12" s="21">
        <v>25000</v>
      </c>
      <c r="C12" s="21">
        <v>20000</v>
      </c>
    </row>
    <row r="13" ht="14.25">
      <c r="A13" s="2" t="s">
        <v>15</v>
      </c>
      <c r="B13" s="21">
        <v>25000</v>
      </c>
      <c r="C13" s="21">
        <v>20000</v>
      </c>
    </row>
    <row r="14" ht="14.25">
      <c r="A14" s="2" t="s">
        <v>67</v>
      </c>
      <c r="B14" s="21">
        <f>25000+B6</f>
        <v>30000</v>
      </c>
      <c r="C14" s="21">
        <f>25000+C6</f>
        <v>31000</v>
      </c>
      <c r="D14" t="s">
        <v>68</v>
      </c>
    </row>
    <row r="17" ht="14.25">
      <c r="A17" t="s">
        <v>69</v>
      </c>
      <c r="B17" s="12">
        <f>IRR(B8:B14)</f>
        <v>0.097676574072629793</v>
      </c>
      <c r="C17" s="12">
        <f>IRR(C8:C14)</f>
        <v>0.114304711168011</v>
      </c>
    </row>
    <row r="21" ht="14.25">
      <c r="A21" t="s">
        <v>70</v>
      </c>
      <c r="B21">
        <f>NPV(B17,B9:B14)</f>
        <v>100000</v>
      </c>
      <c r="C21">
        <f>NPV(C17,C9:C14)</f>
        <v>100000</v>
      </c>
    </row>
    <row r="24" ht="14.25">
      <c r="A24" t="s">
        <v>71</v>
      </c>
      <c r="B24" t="s">
        <v>72</v>
      </c>
    </row>
    <row r="25" ht="14.25">
      <c r="B25" t="s">
        <v>73</v>
      </c>
    </row>
    <row r="26" ht="14.25">
      <c r="B26" t="s">
        <v>74</v>
      </c>
    </row>
  </sheetData>
  <printOptions headings="0" gridLines="0" horizontalCentered="0" verticalCentered="0"/>
  <pageMargins left="0.70078740157480324" right="0.70078740157480324" top="0.75196850393700787" bottom="0.75196850393700787" header="0.51181102362204689" footer="0.51181102362204689"/>
  <pageSetup paperSize="9" scale="100" fitToWidth="1" fitToHeight="1" pageOrder="downThenOver" orientation="landscape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Hinterholzer Stefan</dc:creator>
  <dc:description/>
  <dc:language>en-GB</dc:language>
  <cp:revision>4</cp:revision>
  <dcterms:created xsi:type="dcterms:W3CDTF">2015-06-05T18:19:34Z</dcterms:created>
  <dcterms:modified xsi:type="dcterms:W3CDTF">2026-06-22T14:18:14Z</dcterms:modified>
</cp:coreProperties>
</file>
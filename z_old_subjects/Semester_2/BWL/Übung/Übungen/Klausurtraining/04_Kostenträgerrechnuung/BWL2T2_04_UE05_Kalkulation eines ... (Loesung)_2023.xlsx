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hooe-my.sharepoint.com/personal/p20016_fhooe_at/Documents/#SE-VZ_BWL2_T2/BWL2_T2 (VL-Teil)/BWL2T2_04_Kostenträgerrechnung (Kalkulation)/"/>
    </mc:Choice>
  </mc:AlternateContent>
  <xr:revisionPtr revIDLastSave="10" documentId="8_{FCF06EA6-9B98-4A7B-B656-DC16DD54D280}" xr6:coauthVersionLast="47" xr6:coauthVersionMax="47" xr10:uidLastSave="{78BA5071-520C-47CF-8595-8AA09BFD5671}"/>
  <bookViews>
    <workbookView xWindow="1695" yWindow="1275" windowWidth="22350" windowHeight="14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4" i="1" l="1"/>
  <c r="E45" i="1" s="1"/>
  <c r="E13" i="1"/>
  <c r="E28" i="1"/>
  <c r="C15" i="1"/>
  <c r="D15" i="1"/>
  <c r="E31" i="1" l="1"/>
  <c r="E30" i="1"/>
  <c r="E29" i="1"/>
  <c r="D17" i="1"/>
  <c r="D16" i="1"/>
  <c r="E18" i="1"/>
  <c r="E12" i="1"/>
  <c r="E11" i="1"/>
  <c r="E7" i="1"/>
  <c r="E8" i="1" s="1"/>
  <c r="E32" i="1" l="1"/>
  <c r="E34" i="1" s="1"/>
  <c r="E40" i="1" s="1"/>
  <c r="E9" i="1"/>
  <c r="E10" i="1" s="1"/>
  <c r="E21" i="1" s="1"/>
  <c r="E22" i="1" s="1"/>
  <c r="E23" i="1" s="1"/>
  <c r="E24" i="1" s="1"/>
  <c r="E39" i="1" s="1"/>
  <c r="E41" i="1" l="1"/>
  <c r="E42" i="1" s="1"/>
</calcChain>
</file>

<file path=xl/sharedStrings.xml><?xml version="1.0" encoding="utf-8"?>
<sst xmlns="http://schemas.openxmlformats.org/spreadsheetml/2006/main" count="49" uniqueCount="44">
  <si>
    <t>a) Ermittlung der Jahreskosten</t>
  </si>
  <si>
    <t>Bruttogehalt</t>
  </si>
  <si>
    <t>+ UG und WR</t>
  </si>
  <si>
    <t>1/6</t>
  </si>
  <si>
    <t>Monatsentgelt</t>
  </si>
  <si>
    <t>+ Gehaltsnebenkosten (SV-DGA, DB, DZ, KS, ..)</t>
  </si>
  <si>
    <t xml:space="preserve">+ Fortbildungskosten </t>
  </si>
  <si>
    <t>pro Jahr</t>
  </si>
  <si>
    <t>Kosten des Einkommens je Monat ("BruttoBrutto")</t>
  </si>
  <si>
    <t>+ Reise- u. Fahrspesen (nicht an Kd. verrechenb.)</t>
  </si>
  <si>
    <t>Direkte, mitarbeiterbezogene Kosten</t>
  </si>
  <si>
    <t>sonstige Kosten:</t>
  </si>
  <si>
    <t>+ Kalkulatorische Miete</t>
  </si>
  <si>
    <t>+ Kalkulatorische Abschreibung</t>
  </si>
  <si>
    <t>pro Monat</t>
  </si>
  <si>
    <t>+ sonstige laufende Kosten (Verwaltung, Vertrieb)</t>
  </si>
  <si>
    <t>Summe sonstige Kosten für Unternehmen</t>
  </si>
  <si>
    <t>(Mitarbeiterbezogene + sonstige Kosten f. Unternehmen)</t>
  </si>
  <si>
    <t>[1]</t>
  </si>
  <si>
    <t>[2]</t>
  </si>
  <si>
    <t>Monatskosten gesamt [1] + [2]</t>
  </si>
  <si>
    <t>[3]</t>
  </si>
  <si>
    <t>Kalk. Jahreskosten</t>
  </si>
  <si>
    <t>+ kalk. Wagnis (8% von [3])</t>
  </si>
  <si>
    <t>Bezogen auf ein Jahr</t>
  </si>
  <si>
    <t>b) Ermittlung der Stunden</t>
  </si>
  <si>
    <t>Durchschnittliche Arbeitsstunden</t>
  </si>
  <si>
    <t>Stunden</t>
  </si>
  <si>
    <t>- Urlaubstage</t>
  </si>
  <si>
    <t>- Krankheitstage</t>
  </si>
  <si>
    <t>- sonstige Dienstverhinderung</t>
  </si>
  <si>
    <t xml:space="preserve">Summe der verfügbaren Stunden </t>
  </si>
  <si>
    <t>- zusätzlicher nicht verrechenb. Zeitaufwand</t>
  </si>
  <si>
    <t>verrechenbare Stunden bei Vollauslastung</t>
  </si>
  <si>
    <t>c) Ermittlung des Tag- bzw. Stundensatzes</t>
  </si>
  <si>
    <t>[4]</t>
  </si>
  <si>
    <t>Kalkulatorische Jahreskosten [4]</t>
  </si>
  <si>
    <t>[5]</t>
  </si>
  <si>
    <t>: verrechenbare Stunden bei Vollauslastung [5]</t>
  </si>
  <si>
    <t>Selbstkosten je Stunde</t>
  </si>
  <si>
    <t>Selbstkosten je Tag</t>
  </si>
  <si>
    <t>Wochen/Tage</t>
  </si>
  <si>
    <t>Std/Woche bzw. Tag</t>
  </si>
  <si>
    <t>Uebung 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</si>
</sst>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€&quot;\ 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164" fontId="0" fillId="0" borderId="0" xfId="0" applyNumberFormat="1"/>
    <xf numFmtId="0" fontId="0" fillId="0" borderId="0" xfId="0" quotePrefix="1"/>
    <xf numFmtId="0" fontId="0" fillId="0" borderId="1" xfId="0" quotePrefix="1" applyBorder="1"/>
    <xf numFmtId="0" fontId="0" fillId="0" borderId="1" xfId="0" applyBorder="1"/>
    <xf numFmtId="164" fontId="0" fillId="0" borderId="1" xfId="0" quotePrefix="1" applyNumberFormat="1" applyBorder="1"/>
    <xf numFmtId="164" fontId="0" fillId="0" borderId="1" xfId="0" applyNumberFormat="1" applyBorder="1"/>
    <xf numFmtId="9" fontId="0" fillId="0" borderId="1" xfId="1" applyFont="1" applyBorder="1"/>
    <xf numFmtId="0" fontId="0" fillId="0" borderId="0" xfId="0" applyAlignment="1">
      <alignment horizontal="center"/>
    </xf>
    <xf numFmtId="3" fontId="0" fillId="0" borderId="0" xfId="0" applyNumberFormat="1"/>
    <xf numFmtId="3" fontId="0" fillId="0" borderId="1" xfId="0" applyNumberFormat="1" applyBorder="1"/>
    <xf numFmtId="0" fontId="0" fillId="2" borderId="0" xfId="0" applyFill="1"/>
    <xf numFmtId="164" fontId="0" fillId="2" borderId="0" xfId="0" applyNumberFormat="1" applyFill="1"/>
    <xf numFmtId="0" fontId="2" fillId="3" borderId="0" xfId="0" applyFont="1" applyFill="1"/>
    <xf numFmtId="0" fontId="0" fillId="4" borderId="0" xfId="0" applyFill="1"/>
    <xf numFmtId="164" fontId="0" fillId="4" borderId="0" xfId="0" applyNumberForma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F45"/>
  <sheetViews>
    <sheetView tabSelected="1" topLeftCell="A22" workbookViewId="0">
      <selection activeCell="I11" sqref="I11"/>
    </sheetView>
  </sheetViews>
  <sheetFormatPr defaultRowHeight="15" x14ac:dyDescent="0.25"/>
  <cols>
    <col min="1" max="1" width="53.140625" bestFit="1" customWidth="1"/>
    <col min="2" max="2" width="19.140625" bestFit="1" customWidth="1"/>
    <col min="3" max="3" width="15.140625" style="1" customWidth="1"/>
    <col min="4" max="4" width="13.140625" style="1" customWidth="1"/>
    <col min="5" max="5" width="12.85546875" customWidth="1"/>
    <col min="6" max="6" width="9.140625" style="8"/>
  </cols>
  <sheetData>
    <row r="2" spans="1:6" x14ac:dyDescent="0.25">
      <c r="A2" s="13" t="s">
        <v>43</v>
      </c>
    </row>
    <row r="4" spans="1:6" x14ac:dyDescent="0.25">
      <c r="A4" t="s">
        <v>0</v>
      </c>
    </row>
    <row r="5" spans="1:6" x14ac:dyDescent="0.25">
      <c r="C5" s="1" t="s">
        <v>7</v>
      </c>
      <c r="E5" s="1" t="s">
        <v>14</v>
      </c>
    </row>
    <row r="6" spans="1:6" x14ac:dyDescent="0.25">
      <c r="A6" t="s">
        <v>1</v>
      </c>
      <c r="E6" s="1">
        <v>3500</v>
      </c>
    </row>
    <row r="7" spans="1:6" x14ac:dyDescent="0.25">
      <c r="A7" s="3" t="s">
        <v>2</v>
      </c>
      <c r="B7" s="4"/>
      <c r="C7" s="5" t="s">
        <v>3</v>
      </c>
      <c r="D7" s="6"/>
      <c r="E7" s="6">
        <f>E6/6</f>
        <v>583.33333333333337</v>
      </c>
    </row>
    <row r="8" spans="1:6" x14ac:dyDescent="0.25">
      <c r="A8" t="s">
        <v>4</v>
      </c>
      <c r="E8" s="1">
        <f>SUM(E6:E7)</f>
        <v>4083.3333333333335</v>
      </c>
    </row>
    <row r="9" spans="1:6" x14ac:dyDescent="0.25">
      <c r="A9" s="3" t="s">
        <v>5</v>
      </c>
      <c r="B9" s="4"/>
      <c r="C9" s="7">
        <v>0.3</v>
      </c>
      <c r="D9" s="6"/>
      <c r="E9" s="6">
        <f>E8*C9</f>
        <v>1225</v>
      </c>
    </row>
    <row r="10" spans="1:6" x14ac:dyDescent="0.25">
      <c r="A10" t="s">
        <v>8</v>
      </c>
      <c r="E10" s="1">
        <f>SUM(E8:E9)</f>
        <v>5308.3333333333339</v>
      </c>
    </row>
    <row r="11" spans="1:6" x14ac:dyDescent="0.25">
      <c r="A11" s="2" t="s">
        <v>6</v>
      </c>
      <c r="B11" t="s">
        <v>7</v>
      </c>
      <c r="C11" s="1">
        <v>1200</v>
      </c>
      <c r="E11" s="1">
        <f>C11/12</f>
        <v>100</v>
      </c>
    </row>
    <row r="12" spans="1:6" x14ac:dyDescent="0.25">
      <c r="A12" s="3" t="s">
        <v>9</v>
      </c>
      <c r="B12" s="4" t="s">
        <v>7</v>
      </c>
      <c r="C12" s="6">
        <v>1800</v>
      </c>
      <c r="D12" s="6"/>
      <c r="E12" s="6">
        <f>C12/12</f>
        <v>150</v>
      </c>
    </row>
    <row r="13" spans="1:6" x14ac:dyDescent="0.25">
      <c r="A13" t="s">
        <v>10</v>
      </c>
      <c r="E13" s="1">
        <f>SUM(E10:E12)</f>
        <v>5558.3333333333339</v>
      </c>
      <c r="F13" s="8" t="s">
        <v>18</v>
      </c>
    </row>
    <row r="14" spans="1:6" x14ac:dyDescent="0.25">
      <c r="A14" t="s">
        <v>11</v>
      </c>
      <c r="D14" s="1" t="s">
        <v>14</v>
      </c>
    </row>
    <row r="15" spans="1:6" x14ac:dyDescent="0.25">
      <c r="A15" s="2" t="s">
        <v>12</v>
      </c>
      <c r="C15" s="1">
        <f>2400</f>
        <v>2400</v>
      </c>
      <c r="D15" s="1">
        <f>C15/12</f>
        <v>200</v>
      </c>
    </row>
    <row r="16" spans="1:6" x14ac:dyDescent="0.25">
      <c r="A16" s="2" t="s">
        <v>13</v>
      </c>
      <c r="C16" s="1">
        <v>1200</v>
      </c>
      <c r="D16" s="1">
        <f>C16/12</f>
        <v>100</v>
      </c>
    </row>
    <row r="17" spans="1:6" x14ac:dyDescent="0.25">
      <c r="A17" s="3" t="s">
        <v>15</v>
      </c>
      <c r="B17" s="4"/>
      <c r="C17" s="6">
        <v>2400</v>
      </c>
      <c r="D17" s="6">
        <f>C17/12</f>
        <v>200</v>
      </c>
      <c r="E17" s="6"/>
    </row>
    <row r="18" spans="1:6" x14ac:dyDescent="0.25">
      <c r="A18" t="s">
        <v>16</v>
      </c>
      <c r="E18" s="1">
        <f>SUM(D15:D17)</f>
        <v>500</v>
      </c>
      <c r="F18" s="8" t="s">
        <v>19</v>
      </c>
    </row>
    <row r="20" spans="1:6" x14ac:dyDescent="0.25">
      <c r="A20" t="s">
        <v>20</v>
      </c>
    </row>
    <row r="21" spans="1:6" x14ac:dyDescent="0.25">
      <c r="A21" t="s">
        <v>17</v>
      </c>
      <c r="E21" s="1">
        <f>E13+E18</f>
        <v>6058.3333333333339</v>
      </c>
      <c r="F21" s="8" t="s">
        <v>21</v>
      </c>
    </row>
    <row r="22" spans="1:6" x14ac:dyDescent="0.25">
      <c r="A22" s="3" t="s">
        <v>23</v>
      </c>
      <c r="B22" s="4"/>
      <c r="C22" s="7">
        <v>0.08</v>
      </c>
      <c r="D22" s="6"/>
      <c r="E22" s="6">
        <f>E21*C22</f>
        <v>484.66666666666674</v>
      </c>
    </row>
    <row r="23" spans="1:6" x14ac:dyDescent="0.25">
      <c r="A23" t="s">
        <v>22</v>
      </c>
      <c r="E23" s="1">
        <f>SUM(E21:E22)</f>
        <v>6543.0000000000009</v>
      </c>
    </row>
    <row r="24" spans="1:6" x14ac:dyDescent="0.25">
      <c r="A24" t="s">
        <v>24</v>
      </c>
      <c r="E24" s="1">
        <f>E23*12</f>
        <v>78516.000000000015</v>
      </c>
      <c r="F24" s="8" t="s">
        <v>35</v>
      </c>
    </row>
    <row r="26" spans="1:6" x14ac:dyDescent="0.25">
      <c r="A26" t="s">
        <v>25</v>
      </c>
    </row>
    <row r="27" spans="1:6" x14ac:dyDescent="0.25">
      <c r="B27" t="s">
        <v>42</v>
      </c>
      <c r="C27" s="1" t="s">
        <v>41</v>
      </c>
      <c r="E27" t="s">
        <v>27</v>
      </c>
    </row>
    <row r="28" spans="1:6" x14ac:dyDescent="0.25">
      <c r="A28" t="s">
        <v>26</v>
      </c>
      <c r="B28">
        <v>40</v>
      </c>
      <c r="C28">
        <v>52</v>
      </c>
      <c r="E28" s="9">
        <f>C28*B28</f>
        <v>2080</v>
      </c>
    </row>
    <row r="29" spans="1:6" x14ac:dyDescent="0.25">
      <c r="A29" s="2" t="s">
        <v>28</v>
      </c>
      <c r="B29">
        <v>8</v>
      </c>
      <c r="C29">
        <v>25</v>
      </c>
      <c r="E29">
        <f>-B29*C29</f>
        <v>-200</v>
      </c>
    </row>
    <row r="30" spans="1:6" x14ac:dyDescent="0.25">
      <c r="A30" s="2" t="s">
        <v>29</v>
      </c>
      <c r="B30">
        <v>8</v>
      </c>
      <c r="C30">
        <v>8</v>
      </c>
      <c r="E30">
        <f>-B30*C30</f>
        <v>-64</v>
      </c>
    </row>
    <row r="31" spans="1:6" x14ac:dyDescent="0.25">
      <c r="A31" s="3" t="s">
        <v>30</v>
      </c>
      <c r="B31" s="4">
        <v>40</v>
      </c>
      <c r="C31" s="4">
        <v>2</v>
      </c>
      <c r="D31" s="6"/>
      <c r="E31" s="4">
        <f>-B31*C31</f>
        <v>-80</v>
      </c>
    </row>
    <row r="32" spans="1:6" x14ac:dyDescent="0.25">
      <c r="A32" t="s">
        <v>31</v>
      </c>
      <c r="E32" s="9">
        <f>SUM(E28:E31)</f>
        <v>1736</v>
      </c>
    </row>
    <row r="33" spans="1:6" x14ac:dyDescent="0.25">
      <c r="A33" s="3" t="s">
        <v>32</v>
      </c>
      <c r="B33" s="4"/>
      <c r="C33" s="6"/>
      <c r="D33" s="6"/>
      <c r="E33" s="4">
        <v>-100</v>
      </c>
    </row>
    <row r="34" spans="1:6" x14ac:dyDescent="0.25">
      <c r="A34" t="s">
        <v>33</v>
      </c>
      <c r="E34" s="9">
        <f>SUM(E32:E33)</f>
        <v>1636</v>
      </c>
      <c r="F34" s="8" t="s">
        <v>37</v>
      </c>
    </row>
    <row r="37" spans="1:6" x14ac:dyDescent="0.25">
      <c r="A37" t="s">
        <v>34</v>
      </c>
    </row>
    <row r="39" spans="1:6" x14ac:dyDescent="0.25">
      <c r="A39" t="s">
        <v>36</v>
      </c>
      <c r="E39" s="1">
        <f>E24</f>
        <v>78516.000000000015</v>
      </c>
    </row>
    <row r="40" spans="1:6" x14ac:dyDescent="0.25">
      <c r="A40" s="2" t="s">
        <v>38</v>
      </c>
      <c r="E40" s="10">
        <f>E34</f>
        <v>1636</v>
      </c>
    </row>
    <row r="41" spans="1:6" x14ac:dyDescent="0.25">
      <c r="A41" s="11" t="s">
        <v>39</v>
      </c>
      <c r="B41" s="11"/>
      <c r="C41" s="12"/>
      <c r="D41" s="12"/>
      <c r="E41" s="12">
        <f>E39/E40</f>
        <v>47.992665036674822</v>
      </c>
    </row>
    <row r="42" spans="1:6" x14ac:dyDescent="0.25">
      <c r="A42" s="11" t="s">
        <v>40</v>
      </c>
      <c r="B42" s="11"/>
      <c r="C42" s="12"/>
      <c r="D42" s="12"/>
      <c r="E42" s="12">
        <f>E41*8</f>
        <v>383.94132029339858</v>
      </c>
    </row>
    <row r="44" spans="1:6" x14ac:dyDescent="0.25">
      <c r="A44" s="14" t="s">
        <v>39</v>
      </c>
      <c r="B44" s="14"/>
      <c r="C44" s="15"/>
      <c r="D44" s="15"/>
      <c r="E44" s="15">
        <f>E13*12/E34</f>
        <v>40.770171149144254</v>
      </c>
    </row>
    <row r="45" spans="1:6" x14ac:dyDescent="0.25">
      <c r="A45" s="14" t="s">
        <v>40</v>
      </c>
      <c r="B45" s="14"/>
      <c r="C45" s="15"/>
      <c r="D45" s="15"/>
      <c r="E45" s="15">
        <f>E44*8</f>
        <v>326.16136919315403</v>
      </c>
    </row>
  </sheetData>
  <pageMargins left="0.7" right="0.7" top="0.75" bottom="0.75" header="0.3" footer="0.3"/>
  <pageSetup paperSize="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FH-Hagenberg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Hinterholzer Stefan</dc:creator>
  <cp:lastModifiedBy>Hinterholzer Stefan</cp:lastModifiedBy>
  <cp:lastPrinted>2023-07-04T12:14:49Z</cp:lastPrinted>
  <dcterms:created xsi:type="dcterms:W3CDTF">2015-03-31T09:15:41Z</dcterms:created>
  <dcterms:modified xsi:type="dcterms:W3CDTF">2024-04-26T10:49:47Z</dcterms:modified>
</cp:coreProperties>
</file>
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UE-Teil)/"/>
    </mc:Choice>
  </mc:AlternateContent>
  <xr:revisionPtr revIDLastSave="0" documentId="8_{1C9C37B5-38A9-4A5E-8297-F7250EF500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8" i="1"/>
  <c r="K4" i="1"/>
  <c r="J9" i="1"/>
  <c r="J7" i="1"/>
  <c r="K7" i="1" s="1"/>
  <c r="J5" i="1"/>
  <c r="K5" i="1" s="1"/>
  <c r="D9" i="1"/>
  <c r="K9" i="1" s="1"/>
  <c r="D7" i="1"/>
  <c r="D5" i="1"/>
  <c r="J10" i="1" l="1"/>
  <c r="D10" i="1"/>
  <c r="K10" i="1" l="1"/>
  <c r="D11" i="1"/>
  <c r="J12" i="1"/>
  <c r="K12" i="1" s="1"/>
  <c r="J11" i="1"/>
  <c r="K11" i="1" s="1"/>
  <c r="D12" i="1"/>
  <c r="D13" i="1" l="1"/>
  <c r="J13" i="1"/>
  <c r="K13" i="1" s="1"/>
  <c r="J15" i="1"/>
  <c r="D14" i="1" l="1"/>
  <c r="D15" i="1" s="1"/>
  <c r="D20" i="1" s="1"/>
  <c r="J20" i="1" s="1"/>
  <c r="J24" i="1" l="1"/>
  <c r="J22" i="1"/>
</calcChain>
</file>

<file path=xl/sharedStrings.xml><?xml version="1.0" encoding="utf-8"?>
<sst xmlns="http://schemas.openxmlformats.org/spreadsheetml/2006/main" count="39" uniqueCount="30">
  <si>
    <t xml:space="preserve">Materialeinzelkosten </t>
  </si>
  <si>
    <t xml:space="preserve">Fertigungslöhne </t>
  </si>
  <si>
    <t xml:space="preserve">Fertigungslöhne2 </t>
  </si>
  <si>
    <t>Herstellkosten (Summe)</t>
  </si>
  <si>
    <t xml:space="preserve">+ Materialgemeinkosten </t>
  </si>
  <si>
    <t xml:space="preserve">+ Fertigungsgemeinkosten  </t>
  </si>
  <si>
    <t xml:space="preserve">+ Fertigungsgemeinkosten2  </t>
  </si>
  <si>
    <t>+ Verwaltungsgemeinkosten</t>
  </si>
  <si>
    <t>+ Vertriebsgemeinkosten</t>
  </si>
  <si>
    <t>Selbstkosten</t>
  </si>
  <si>
    <t>RWE2_UE06</t>
  </si>
  <si>
    <t>Musterlösung</t>
  </si>
  <si>
    <t>+ 20% Gewinn</t>
  </si>
  <si>
    <t>aus der Sicht des Kunden dessen</t>
  </si>
  <si>
    <t>"Einstandspreis"</t>
  </si>
  <si>
    <t>a)</t>
  </si>
  <si>
    <t>b)</t>
  </si>
  <si>
    <t>Mit der gesamten angefragten Menge</t>
  </si>
  <si>
    <t>Nettoverkaufspreis</t>
  </si>
  <si>
    <t>"kalkulierter Nettoverkaufspreis" je Stück</t>
  </si>
  <si>
    <t>Stückbetrachtung</t>
  </si>
  <si>
    <t>Gesamtbetrachtung</t>
  </si>
  <si>
    <t>Diese Kosten sind tatsächlich angefallen</t>
  </si>
  <si>
    <t>Das wurde in Form der Umsatzerlöse</t>
  </si>
  <si>
    <t>dem Kunden verrechnet</t>
  </si>
  <si>
    <t>Also ergibt sich ein Verlust von</t>
  </si>
  <si>
    <t>Das sind in % der Selbstkosten</t>
  </si>
  <si>
    <t>Abw. in %</t>
  </si>
  <si>
    <t>Fertigungslöhne 1</t>
  </si>
  <si>
    <t>Aussagekräftiger in % des Umsatzes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</si>
</sst>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%"/>
    <numFmt numFmtId="165" formatCode="&quot;€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8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8" fontId="0" fillId="0" borderId="1" xfId="0" applyNumberFormat="1" applyBorder="1"/>
    <xf numFmtId="0" fontId="0" fillId="0" borderId="0" xfId="0" quotePrefix="1"/>
    <xf numFmtId="0" fontId="0" fillId="0" borderId="1" xfId="0" quotePrefix="1" applyBorder="1"/>
    <xf numFmtId="0" fontId="3" fillId="0" borderId="0" xfId="0" applyFont="1"/>
    <xf numFmtId="8" fontId="3" fillId="0" borderId="0" xfId="0" applyNumberFormat="1" applyFont="1"/>
    <xf numFmtId="0" fontId="0" fillId="2" borderId="0" xfId="0" applyFill="1"/>
    <xf numFmtId="0" fontId="2" fillId="4" borderId="0" xfId="0" applyFont="1" applyFill="1"/>
    <xf numFmtId="9" fontId="0" fillId="0" borderId="1" xfId="0" applyNumberFormat="1" applyBorder="1"/>
    <xf numFmtId="8" fontId="3" fillId="6" borderId="0" xfId="0" applyNumberFormat="1" applyFont="1" applyFill="1"/>
    <xf numFmtId="8" fontId="3" fillId="3" borderId="0" xfId="0" applyNumberFormat="1" applyFont="1" applyFill="1"/>
    <xf numFmtId="0" fontId="4" fillId="0" borderId="0" xfId="0" applyFont="1"/>
    <xf numFmtId="9" fontId="4" fillId="0" borderId="0" xfId="0" applyNumberFormat="1" applyFont="1" applyAlignment="1">
      <alignment horizontal="center"/>
    </xf>
    <xf numFmtId="165" fontId="5" fillId="0" borderId="0" xfId="0" applyNumberFormat="1" applyFont="1"/>
    <xf numFmtId="164" fontId="4" fillId="0" borderId="0" xfId="1" applyNumberFormat="1" applyFont="1"/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F13" zoomScale="190" zoomScaleNormal="190" workbookViewId="0">
      <selection activeCell="H24" sqref="H24:J24"/>
    </sheetView>
  </sheetViews>
  <sheetFormatPr defaultRowHeight="15" x14ac:dyDescent="0.25"/>
  <cols>
    <col min="2" max="2" width="38.5703125" customWidth="1"/>
    <col min="3" max="3" width="10.5703125" customWidth="1"/>
    <col min="4" max="4" width="14.5703125" customWidth="1"/>
    <col min="6" max="6" width="8.28515625" customWidth="1"/>
    <col min="8" max="8" width="38.85546875" bestFit="1" customWidth="1"/>
    <col min="9" max="9" width="8.140625" bestFit="1" customWidth="1"/>
    <col min="10" max="10" width="13.5703125" customWidth="1"/>
    <col min="11" max="11" width="16.140625" customWidth="1"/>
    <col min="12" max="12" width="12.28515625" customWidth="1"/>
  </cols>
  <sheetData>
    <row r="1" spans="1:12" x14ac:dyDescent="0.25">
      <c r="A1" s="10" t="s">
        <v>10</v>
      </c>
      <c r="B1" s="10"/>
    </row>
    <row r="2" spans="1:12" x14ac:dyDescent="0.25">
      <c r="A2" s="9" t="s">
        <v>11</v>
      </c>
      <c r="B2" s="9"/>
    </row>
    <row r="3" spans="1:12" x14ac:dyDescent="0.25">
      <c r="C3" s="18" t="s">
        <v>20</v>
      </c>
      <c r="D3" s="18"/>
      <c r="I3" s="18" t="s">
        <v>21</v>
      </c>
      <c r="J3" s="18"/>
      <c r="K3" s="19" t="s">
        <v>27</v>
      </c>
      <c r="L3" s="19"/>
    </row>
    <row r="4" spans="1:12" x14ac:dyDescent="0.25">
      <c r="A4" t="s">
        <v>15</v>
      </c>
      <c r="B4" t="s">
        <v>0</v>
      </c>
      <c r="D4" s="1">
        <v>920</v>
      </c>
      <c r="G4" t="s">
        <v>16</v>
      </c>
      <c r="H4" t="s">
        <v>0</v>
      </c>
      <c r="J4" s="1">
        <v>180000</v>
      </c>
      <c r="K4" s="15">
        <f>(J4-D4*200)/(D4*200)</f>
        <v>-2.1739130434782608E-2</v>
      </c>
      <c r="L4" s="14"/>
    </row>
    <row r="5" spans="1:12" x14ac:dyDescent="0.25">
      <c r="B5" s="5" t="s">
        <v>4</v>
      </c>
      <c r="C5" s="2">
        <v>0.27</v>
      </c>
      <c r="D5" s="1">
        <f>D4*C5</f>
        <v>248.4</v>
      </c>
      <c r="H5" s="5" t="s">
        <v>4</v>
      </c>
      <c r="I5" s="2">
        <v>0.25700000000000001</v>
      </c>
      <c r="J5" s="1">
        <f>J4*I5</f>
        <v>46260</v>
      </c>
      <c r="K5" s="15">
        <f t="shared" ref="K5:K13" si="0">(J5-D5*200)/(D5*200)</f>
        <v>-6.8840579710144928E-2</v>
      </c>
      <c r="L5" s="14"/>
    </row>
    <row r="6" spans="1:12" x14ac:dyDescent="0.25">
      <c r="B6" t="s">
        <v>1</v>
      </c>
      <c r="D6" s="1">
        <v>1000</v>
      </c>
      <c r="H6" t="s">
        <v>28</v>
      </c>
      <c r="J6" s="1">
        <v>368000</v>
      </c>
      <c r="K6" s="15">
        <f t="shared" si="0"/>
        <v>0.84</v>
      </c>
      <c r="L6" s="14"/>
    </row>
    <row r="7" spans="1:12" x14ac:dyDescent="0.25">
      <c r="B7" s="5" t="s">
        <v>5</v>
      </c>
      <c r="C7" s="2">
        <v>2.4</v>
      </c>
      <c r="D7" s="1">
        <f>D6*C7</f>
        <v>2400</v>
      </c>
      <c r="H7" s="5" t="s">
        <v>5</v>
      </c>
      <c r="I7" s="2">
        <v>2.3340000000000001</v>
      </c>
      <c r="J7" s="1">
        <f>J6*I7</f>
        <v>858912</v>
      </c>
      <c r="K7" s="15">
        <f t="shared" si="0"/>
        <v>0.78939999999999999</v>
      </c>
      <c r="L7" s="14"/>
    </row>
    <row r="8" spans="1:12" x14ac:dyDescent="0.25">
      <c r="B8" t="s">
        <v>2</v>
      </c>
      <c r="D8" s="1">
        <v>800</v>
      </c>
      <c r="H8" t="s">
        <v>2</v>
      </c>
      <c r="J8" s="1">
        <v>166000</v>
      </c>
      <c r="K8" s="15">
        <f t="shared" si="0"/>
        <v>3.7499999999999999E-2</v>
      </c>
      <c r="L8" s="14"/>
    </row>
    <row r="9" spans="1:12" x14ac:dyDescent="0.25">
      <c r="B9" s="6" t="s">
        <v>6</v>
      </c>
      <c r="C9" s="3">
        <v>2.8</v>
      </c>
      <c r="D9" s="4">
        <f>D8*C9</f>
        <v>2240</v>
      </c>
      <c r="H9" s="6" t="s">
        <v>6</v>
      </c>
      <c r="I9" s="3">
        <v>2.875</v>
      </c>
      <c r="J9" s="4">
        <f>J8*I9</f>
        <v>477250</v>
      </c>
      <c r="K9" s="15">
        <f t="shared" si="0"/>
        <v>6.5290178571428575E-2</v>
      </c>
      <c r="L9" s="14"/>
    </row>
    <row r="10" spans="1:12" x14ac:dyDescent="0.25">
      <c r="B10" s="7" t="s">
        <v>3</v>
      </c>
      <c r="C10" s="7"/>
      <c r="D10" s="8">
        <f>SUM(D4:D9)</f>
        <v>7608.4</v>
      </c>
      <c r="H10" s="7" t="s">
        <v>3</v>
      </c>
      <c r="I10" s="7"/>
      <c r="J10" s="8">
        <f>SUM(J4:J9)</f>
        <v>2096422</v>
      </c>
      <c r="K10" s="15">
        <f t="shared" si="0"/>
        <v>0.37770227643131277</v>
      </c>
      <c r="L10" s="14"/>
    </row>
    <row r="11" spans="1:12" x14ac:dyDescent="0.25">
      <c r="B11" s="5" t="s">
        <v>7</v>
      </c>
      <c r="C11" s="2">
        <v>0.15</v>
      </c>
      <c r="D11" s="1">
        <f>D10*$C$11</f>
        <v>1141.26</v>
      </c>
      <c r="H11" s="5" t="s">
        <v>7</v>
      </c>
      <c r="I11" s="2">
        <v>0.156</v>
      </c>
      <c r="J11" s="1">
        <f>J10*I11</f>
        <v>327041.83199999999</v>
      </c>
      <c r="K11" s="15">
        <f t="shared" si="0"/>
        <v>0.43281036748856527</v>
      </c>
      <c r="L11" s="14"/>
    </row>
    <row r="12" spans="1:12" x14ac:dyDescent="0.25">
      <c r="B12" s="6" t="s">
        <v>8</v>
      </c>
      <c r="C12" s="3">
        <v>0.18</v>
      </c>
      <c r="D12" s="4">
        <f>C12*D10</f>
        <v>1369.5119999999999</v>
      </c>
      <c r="H12" s="6" t="s">
        <v>8</v>
      </c>
      <c r="I12" s="3">
        <v>0.182</v>
      </c>
      <c r="J12" s="4">
        <f>J10*I12</f>
        <v>381548.804</v>
      </c>
      <c r="K12" s="15">
        <f t="shared" si="0"/>
        <v>0.393010079502772</v>
      </c>
      <c r="L12" s="14"/>
    </row>
    <row r="13" spans="1:12" x14ac:dyDescent="0.25">
      <c r="B13" s="7" t="s">
        <v>9</v>
      </c>
      <c r="D13" s="1">
        <f>SUM(D10:D12)</f>
        <v>10119.172</v>
      </c>
      <c r="H13" s="7" t="s">
        <v>9</v>
      </c>
      <c r="J13" s="1">
        <f>SUM(J10:J12)</f>
        <v>2805012.6359999999</v>
      </c>
      <c r="K13" s="15">
        <f t="shared" si="0"/>
        <v>0.38598920741736564</v>
      </c>
      <c r="L13" s="14"/>
    </row>
    <row r="14" spans="1:12" x14ac:dyDescent="0.25">
      <c r="B14" s="6" t="s">
        <v>12</v>
      </c>
      <c r="C14" s="11">
        <v>0.2</v>
      </c>
      <c r="D14" s="4">
        <f>D13*C14</f>
        <v>2023.8344000000002</v>
      </c>
      <c r="H14" s="6"/>
      <c r="I14" s="11"/>
      <c r="J14" s="4"/>
      <c r="K14" s="14"/>
      <c r="L14" s="14"/>
    </row>
    <row r="15" spans="1:12" x14ac:dyDescent="0.25">
      <c r="B15" t="s">
        <v>19</v>
      </c>
      <c r="D15" s="8">
        <f>SUM(D13:D14)</f>
        <v>12143.0064</v>
      </c>
      <c r="H15" t="s">
        <v>22</v>
      </c>
      <c r="J15" s="13">
        <f>SUM(J13:J14)</f>
        <v>2805012.6359999999</v>
      </c>
      <c r="K15" s="14"/>
      <c r="L15" s="14"/>
    </row>
    <row r="16" spans="1:12" x14ac:dyDescent="0.25">
      <c r="B16" t="s">
        <v>13</v>
      </c>
    </row>
    <row r="17" spans="2:11" x14ac:dyDescent="0.25">
      <c r="B17" t="s">
        <v>14</v>
      </c>
      <c r="H17" s="14" t="s">
        <v>23</v>
      </c>
      <c r="I17" s="14"/>
      <c r="J17" s="14"/>
      <c r="K17" s="14"/>
    </row>
    <row r="18" spans="2:11" x14ac:dyDescent="0.25">
      <c r="H18" s="14" t="s">
        <v>24</v>
      </c>
      <c r="I18" s="14"/>
      <c r="J18" s="14"/>
      <c r="K18" s="14"/>
    </row>
    <row r="19" spans="2:11" x14ac:dyDescent="0.25">
      <c r="B19" t="s">
        <v>17</v>
      </c>
    </row>
    <row r="20" spans="2:11" x14ac:dyDescent="0.25">
      <c r="B20" t="s">
        <v>18</v>
      </c>
      <c r="C20">
        <v>200</v>
      </c>
      <c r="D20" s="12">
        <f>D15*C20</f>
        <v>2428601.2800000003</v>
      </c>
      <c r="H20" s="14" t="s">
        <v>25</v>
      </c>
      <c r="I20" s="14"/>
      <c r="J20" s="16">
        <f>D20-J15</f>
        <v>-376411.35599999968</v>
      </c>
    </row>
    <row r="21" spans="2:11" s="14" customFormat="1" x14ac:dyDescent="0.25"/>
    <row r="22" spans="2:11" s="14" customFormat="1" x14ac:dyDescent="0.25">
      <c r="H22" s="14" t="s">
        <v>26</v>
      </c>
      <c r="J22" s="17">
        <f>-J20/J15</f>
        <v>0.13419239227983273</v>
      </c>
    </row>
    <row r="23" spans="2:11" s="14" customFormat="1" x14ac:dyDescent="0.25"/>
    <row r="24" spans="2:11" s="14" customFormat="1" x14ac:dyDescent="0.25">
      <c r="H24" s="14" t="s">
        <v>29</v>
      </c>
      <c r="J24" s="17">
        <f>-J20/D20</f>
        <v>0.15499100618113798</v>
      </c>
    </row>
    <row r="25" spans="2:11" s="14" customFormat="1" x14ac:dyDescent="0.25"/>
    <row r="26" spans="2:11" s="14" customFormat="1" x14ac:dyDescent="0.25"/>
    <row r="27" spans="2:11" s="14" customFormat="1" x14ac:dyDescent="0.25"/>
    <row r="28" spans="2:11" s="14" customFormat="1" x14ac:dyDescent="0.25"/>
    <row r="29" spans="2:11" s="14" customFormat="1" x14ac:dyDescent="0.25"/>
    <row r="30" spans="2:11" s="14" customFormat="1" x14ac:dyDescent="0.25"/>
    <row r="31" spans="2:11" s="14" customFormat="1" x14ac:dyDescent="0.25"/>
  </sheetData>
  <mergeCells count="3">
    <mergeCell ref="C3:D3"/>
    <mergeCell ref="I3:J3"/>
    <mergeCell ref="K3:L3"/>
  </mergeCells>
  <conditionalFormatting sqref="K4:K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{1C91C9F4-8B81-41EA-A8CF-F4EEC292F76C}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91C9F4-8B81-41EA-A8CF-F4EEC292F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dcterms:created xsi:type="dcterms:W3CDTF">2020-03-24T10:19:36Z</dcterms:created>
  <dcterms:modified xsi:type="dcterms:W3CDTF">2023-04-17T08:51:02Z</dcterms:modified>
</cp:coreProperties>
</file>
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<sst xmlns="http://schemas.openxmlformats.org/spreadsheetml/2006/main" count="29" uniqueCount="29">
  <si>
    <t xml:space="preserve">Uebung 03b</t>
  </si>
  <si>
    <t>Gemeinkosten</t>
  </si>
  <si>
    <t>Kostenschlüssel</t>
  </si>
  <si>
    <t>Kostenstellen</t>
  </si>
  <si>
    <t>Kostenarten</t>
  </si>
  <si>
    <t xml:space="preserve">(Verteilung je nach ..)</t>
  </si>
  <si>
    <t>Material</t>
  </si>
  <si>
    <t xml:space="preserve">Fertigung 1</t>
  </si>
  <si>
    <t xml:space="preserve">Fertigung 2</t>
  </si>
  <si>
    <t xml:space="preserve">Verw. und Vertr.</t>
  </si>
  <si>
    <t>Fertigungsmaterial</t>
  </si>
  <si>
    <t>Fertigungslöhne</t>
  </si>
  <si>
    <t>Gehälter</t>
  </si>
  <si>
    <t>prozentuell</t>
  </si>
  <si>
    <t xml:space="preserve">Lohn- und Gehaltsnebenkosten</t>
  </si>
  <si>
    <t xml:space="preserve">Löhne / Gehälter</t>
  </si>
  <si>
    <t>Hilfsstoffe</t>
  </si>
  <si>
    <t>prozentual</t>
  </si>
  <si>
    <t xml:space="preserve">kalk. Zinsen</t>
  </si>
  <si>
    <t xml:space="preserve">investiertes Verm.</t>
  </si>
  <si>
    <t xml:space="preserve">kalk. Abschreibung</t>
  </si>
  <si>
    <t xml:space="preserve">kalk. Miete</t>
  </si>
  <si>
    <t>m2</t>
  </si>
  <si>
    <t>Strom</t>
  </si>
  <si>
    <t>kWh</t>
  </si>
  <si>
    <t xml:space="preserve">Summe Gemeinkosten</t>
  </si>
  <si>
    <t>Gemeinkostenzuschlagssätze</t>
  </si>
  <si>
    <t xml:space="preserve">Basis für den Gemeinkostenzuschlagssatz bei Verwaltung und Vertrieb sind die Herstellkosten</t>
  </si>
  <si>
    <t>Herstellkosten: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</si>
</sst>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1.000000"/>
      <color theme="0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</patternFill>
    </fill>
    <fill>
      <patternFill patternType="solid">
        <fgColor theme="0" tint="-0.14996795556505021"/>
      </patternFill>
    </fill>
  </fills>
  <borders count="1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none"/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none"/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none"/>
      <right style="none"/>
      <top style="none"/>
      <bottom style="medium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none"/>
      <right style="none"/>
      <top style="none"/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2" borderId="0" numFmtId="0" xfId="0" applyFont="1" applyFill="1"/>
    <xf fontId="0" fillId="3" borderId="1" numFmtId="0" xfId="0" applyFill="1" applyBorder="1"/>
    <xf fontId="0" fillId="3" borderId="1" numFmtId="0" xfId="0" applyFill="1" applyBorder="1" applyAlignment="1">
      <alignment horizontal="center"/>
    </xf>
    <xf fontId="0" fillId="3" borderId="2" numFmtId="0" xfId="0" applyFill="1" applyBorder="1"/>
    <xf fontId="2" fillId="3" borderId="3" numFmtId="0" xfId="0" applyFont="1" applyFill="1" applyBorder="1" applyAlignment="1">
      <alignment horizontal="center"/>
    </xf>
    <xf fontId="2" fillId="3" borderId="4" numFmtId="0" xfId="0" applyFont="1" applyFill="1" applyBorder="1" applyAlignment="1">
      <alignment horizontal="center"/>
    </xf>
    <xf fontId="2" fillId="3" borderId="5" numFmtId="0" xfId="0" applyFont="1" applyFill="1" applyBorder="1" applyAlignment="1">
      <alignment horizontal="center"/>
    </xf>
    <xf fontId="2" fillId="3" borderId="6" numFmtId="0" xfId="0" applyFont="1" applyFill="1" applyBorder="1"/>
    <xf fontId="0" fillId="3" borderId="6" numFmtId="0" xfId="0" applyFill="1" applyBorder="1"/>
    <xf fontId="0" fillId="3" borderId="7" numFmtId="0" xfId="0" applyFill="1" applyBorder="1"/>
    <xf fontId="0" fillId="3" borderId="8" numFmtId="0" xfId="0" applyFill="1" applyBorder="1"/>
    <xf fontId="0" fillId="0" borderId="0" numFmtId="3" xfId="0" applyNumberFormat="1"/>
    <xf fontId="0" fillId="0" borderId="8" numFmtId="3" xfId="0" applyNumberFormat="1" applyBorder="1"/>
    <xf fontId="0" fillId="0" borderId="9" numFmtId="0" xfId="0" applyBorder="1"/>
    <xf fontId="0" fillId="0" borderId="9" numFmtId="3" xfId="0" applyNumberFormat="1" applyBorder="1"/>
    <xf fontId="0" fillId="0" borderId="10" numFmtId="3" xfId="0" applyNumberFormat="1" applyBorder="1"/>
    <xf fontId="0" fillId="0" borderId="6" numFmtId="3" xfId="0" applyNumberFormat="1" applyBorder="1"/>
    <xf fontId="0" fillId="0" borderId="11" numFmtId="0" xfId="0" applyBorder="1"/>
    <xf fontId="0" fillId="0" borderId="11" numFmtId="3" xfId="0" applyNumberFormat="1" applyBorder="1"/>
    <xf fontId="0" fillId="0" borderId="0" numFmtId="1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8" activeCellId="0" sqref="A18"/>
    </sheetView>
  </sheetViews>
  <sheetFormatPr defaultRowHeight="14.25"/>
  <cols>
    <col bestFit="1" customWidth="1" min="1" max="1" width="29.33203125"/>
    <col customWidth="1" min="2" max="2" width="17.6640625"/>
    <col customWidth="1" min="3" max="3" width="23.6640625"/>
    <col customWidth="1" min="4" max="4" width="12.109375"/>
    <col bestFit="1" customWidth="1" min="5" max="5" width="10.25390625"/>
    <col customWidth="1" min="6" max="6" width="11.5546875"/>
    <col customWidth="1" min="7" max="7" width="16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5" t="s">
        <v>3</v>
      </c>
      <c r="E2" s="6"/>
      <c r="F2" s="6"/>
      <c r="G2" s="7"/>
    </row>
    <row r="3">
      <c r="A3" s="8" t="s">
        <v>4</v>
      </c>
      <c r="B3" s="9"/>
      <c r="C3" s="10" t="s">
        <v>5</v>
      </c>
      <c r="D3" s="11" t="s">
        <v>6</v>
      </c>
      <c r="E3" s="11" t="s">
        <v>7</v>
      </c>
      <c r="F3" s="11" t="s">
        <v>8</v>
      </c>
      <c r="G3" s="11" t="s">
        <v>9</v>
      </c>
    </row>
    <row r="4">
      <c r="A4" t="s">
        <v>10</v>
      </c>
      <c r="C4" s="12"/>
      <c r="D4" s="13">
        <v>200000</v>
      </c>
      <c r="E4" s="13"/>
      <c r="F4" s="13"/>
      <c r="G4" s="13"/>
    </row>
    <row r="5" ht="15">
      <c r="A5" s="14" t="s">
        <v>11</v>
      </c>
      <c r="B5" s="14"/>
      <c r="C5" s="15"/>
      <c r="D5" s="16"/>
      <c r="E5" s="16">
        <v>150000</v>
      </c>
      <c r="F5" s="16">
        <v>100000</v>
      </c>
      <c r="G5" s="16"/>
    </row>
    <row r="6">
      <c r="A6" t="s">
        <v>12</v>
      </c>
      <c r="B6" s="12">
        <v>75000</v>
      </c>
      <c r="C6" s="12" t="s">
        <v>13</v>
      </c>
      <c r="D6" s="17">
        <v>15000</v>
      </c>
      <c r="E6" s="17"/>
      <c r="F6" s="17"/>
      <c r="G6" s="17">
        <v>60000</v>
      </c>
    </row>
    <row r="7">
      <c r="A7" t="s">
        <v>14</v>
      </c>
      <c r="B7" s="12">
        <v>260000</v>
      </c>
      <c r="C7" s="12" t="s">
        <v>15</v>
      </c>
      <c r="D7" s="13">
        <v>12000</v>
      </c>
      <c r="E7" s="13">
        <v>120000</v>
      </c>
      <c r="F7" s="13">
        <v>80000</v>
      </c>
      <c r="G7" s="13">
        <v>48000</v>
      </c>
    </row>
    <row r="8">
      <c r="A8" t="s">
        <v>16</v>
      </c>
      <c r="B8" s="12">
        <v>120000</v>
      </c>
      <c r="C8" s="12" t="s">
        <v>17</v>
      </c>
      <c r="D8" s="13"/>
      <c r="E8" s="13">
        <v>60000</v>
      </c>
      <c r="F8" s="13">
        <v>36000</v>
      </c>
      <c r="G8" s="13">
        <v>24000</v>
      </c>
    </row>
    <row r="9">
      <c r="A9" t="s">
        <v>18</v>
      </c>
      <c r="B9" s="12">
        <v>45000</v>
      </c>
      <c r="C9" s="12" t="s">
        <v>19</v>
      </c>
      <c r="D9" s="13">
        <v>3750</v>
      </c>
      <c r="E9" s="13">
        <v>15375</v>
      </c>
      <c r="F9" s="13">
        <v>24000</v>
      </c>
      <c r="G9" s="13">
        <v>1875</v>
      </c>
    </row>
    <row r="10">
      <c r="A10" t="s">
        <v>20</v>
      </c>
      <c r="B10" s="12">
        <v>135000</v>
      </c>
      <c r="C10" s="12" t="s">
        <v>19</v>
      </c>
      <c r="D10" s="13">
        <v>11300</v>
      </c>
      <c r="E10" s="13">
        <v>46100</v>
      </c>
      <c r="F10" s="13">
        <v>72000</v>
      </c>
      <c r="G10" s="13">
        <v>5670</v>
      </c>
    </row>
    <row r="11">
      <c r="A11" t="s">
        <v>21</v>
      </c>
      <c r="B11" s="12">
        <v>90000</v>
      </c>
      <c r="C11" s="12" t="s">
        <v>22</v>
      </c>
      <c r="D11" s="13">
        <v>9000</v>
      </c>
      <c r="E11" s="13">
        <v>36000</v>
      </c>
      <c r="F11" s="13">
        <v>27000</v>
      </c>
      <c r="G11" s="13">
        <v>18000</v>
      </c>
    </row>
    <row r="12">
      <c r="A12" s="18" t="s">
        <v>23</v>
      </c>
      <c r="B12" s="19">
        <v>225000</v>
      </c>
      <c r="C12" s="19" t="s">
        <v>24</v>
      </c>
      <c r="D12" s="13">
        <v>9000</v>
      </c>
      <c r="E12" s="13">
        <v>112500</v>
      </c>
      <c r="F12" s="13">
        <v>81000</v>
      </c>
      <c r="G12" s="13">
        <v>22500</v>
      </c>
    </row>
    <row r="13">
      <c r="A13" t="s">
        <v>25</v>
      </c>
      <c r="B13" s="12">
        <f>SUM(B6:B12)</f>
        <v>950000</v>
      </c>
      <c r="C13" s="12"/>
      <c r="D13" s="12">
        <f>SUM(D6:D12)</f>
        <v>60050</v>
      </c>
      <c r="E13" s="12">
        <f t="shared" ref="E13:G13" si="0">SUM(E6:E12)</f>
        <v>389975</v>
      </c>
      <c r="F13" s="12">
        <f t="shared" si="0"/>
        <v>320000</v>
      </c>
      <c r="G13" s="12">
        <f t="shared" si="0"/>
        <v>180045</v>
      </c>
    </row>
    <row r="14" ht="14.25">
      <c r="A14" t="s">
        <v>26</v>
      </c>
      <c r="D14" s="20">
        <f>D13/(D4)</f>
        <v>0.30025000000000002</v>
      </c>
      <c r="E14" s="20">
        <f>E13/(E5)</f>
        <v>2.5998333333333332</v>
      </c>
      <c r="F14" s="20">
        <f>F13/(F5)</f>
        <v>3.2000000000000002</v>
      </c>
      <c r="G14" s="20">
        <f>G13/D18</f>
        <v>0.14757484477777094</v>
      </c>
    </row>
    <row r="17" ht="14.25">
      <c r="C17" t="s">
        <v>27</v>
      </c>
    </row>
    <row r="18" ht="14.25">
      <c r="C18" t="s">
        <v>28</v>
      </c>
      <c r="D18" s="12">
        <f>D13+E13+F13+F5+E5+D4</f>
        <v>1220025</v>
      </c>
    </row>
  </sheetData>
  <mergeCells count="1">
    <mergeCell ref="D2:G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4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1</cp:revision>
  <dcterms:created xsi:type="dcterms:W3CDTF">2015-03-11T08:02:06Z</dcterms:created>
  <dcterms:modified xsi:type="dcterms:W3CDTF">2026-06-28T13:24:48Z</dcterms:modified>
</cp:coreProperties>
</file>
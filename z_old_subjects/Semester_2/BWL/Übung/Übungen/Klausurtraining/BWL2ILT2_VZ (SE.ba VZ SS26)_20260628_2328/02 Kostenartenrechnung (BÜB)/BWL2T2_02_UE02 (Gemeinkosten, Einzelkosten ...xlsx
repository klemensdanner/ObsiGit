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VL-Teil)/BWL2T2_02_Kostenartenrechnung/"/>
    </mc:Choice>
  </mc:AlternateContent>
  <xr:revisionPtr revIDLastSave="1" documentId="8_{48B49B91-C416-4B70-8326-B155C9218229}" xr6:coauthVersionLast="47" xr6:coauthVersionMax="47" xr10:uidLastSave="{987C0328-AE8B-4831-9BE5-8EC6A826D25A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C9" i="1"/>
  <c r="C16" i="1" s="1"/>
  <c r="D16" i="1" s="1"/>
  <c r="D17" i="1" s="1"/>
</calcChain>
</file>

<file path=xl/sharedStrings.xml><?xml version="1.0" encoding="utf-8"?>
<sst xmlns="http://schemas.openxmlformats.org/spreadsheetml/2006/main" count="14" uniqueCount="12">
  <si>
    <t>Fertigungsmaterial</t>
  </si>
  <si>
    <t>Fertigungslöhne</t>
  </si>
  <si>
    <t>Gemeinkosten</t>
  </si>
  <si>
    <t>GK-Zuschlagssatz:</t>
  </si>
  <si>
    <t>(Gemeinkosten * 100) / Summe der Einzelkosten</t>
  </si>
  <si>
    <t>a)</t>
  </si>
  <si>
    <t>b) Anwendung des Gemeinkostensatzes</t>
  </si>
  <si>
    <t>Summe der EK</t>
  </si>
  <si>
    <t>+ Gemeinkosten</t>
  </si>
  <si>
    <t>Selbstkosten</t>
  </si>
  <si>
    <t>BWL2T2</t>
  </si>
  <si>
    <t>UE02 Musterlösung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</si>
</sst>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€&quot;\ * #,##0.00_-;\-&quot;€&quot;\ * #,##0.00_-;_-&quot;€&quot;\ * &quot;-&quot;??_-;_-@_-"/>
    <numFmt numFmtId="164" formatCode="_-&quot;€&quot;\ * #,##0_-;\-&quot;€&quot;\ * #,##0_-;_-&quot;€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3" fontId="0" fillId="0" borderId="0" xfId="0" applyNumberFormat="1"/>
    <xf numFmtId="3" fontId="0" fillId="0" borderId="1" xfId="0" applyNumberFormat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1" xfId="2" applyNumberFormat="1" applyFont="1" applyBorder="1"/>
    <xf numFmtId="3" fontId="0" fillId="0" borderId="2" xfId="0" applyNumberFormat="1" applyBorder="1"/>
    <xf numFmtId="0" fontId="0" fillId="2" borderId="0" xfId="0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="154" zoomScaleNormal="154" workbookViewId="0">
      <selection activeCell="F7" sqref="F7"/>
    </sheetView>
  </sheetViews>
  <sheetFormatPr defaultRowHeight="14.4" x14ac:dyDescent="0.3"/>
  <cols>
    <col min="2" max="2" width="22.109375" customWidth="1"/>
    <col min="3" max="3" width="16.6640625" bestFit="1" customWidth="1"/>
  </cols>
  <sheetData>
    <row r="1" spans="1:4" x14ac:dyDescent="0.3">
      <c r="A1" s="9" t="s">
        <v>10</v>
      </c>
      <c r="B1" s="9" t="s">
        <v>11</v>
      </c>
    </row>
    <row r="4" spans="1:4" x14ac:dyDescent="0.3">
      <c r="B4" t="s">
        <v>0</v>
      </c>
      <c r="C4" s="6">
        <v>630000</v>
      </c>
    </row>
    <row r="5" spans="1:4" x14ac:dyDescent="0.3">
      <c r="B5" t="s">
        <v>1</v>
      </c>
      <c r="C5" s="6">
        <v>760000</v>
      </c>
    </row>
    <row r="6" spans="1:4" x14ac:dyDescent="0.3">
      <c r="B6" t="s">
        <v>2</v>
      </c>
      <c r="C6" s="6">
        <v>1240000</v>
      </c>
    </row>
    <row r="8" spans="1:4" x14ac:dyDescent="0.3">
      <c r="B8" t="s">
        <v>3</v>
      </c>
      <c r="C8" t="s">
        <v>4</v>
      </c>
    </row>
    <row r="9" spans="1:4" x14ac:dyDescent="0.3">
      <c r="B9" t="s">
        <v>5</v>
      </c>
      <c r="C9" s="5">
        <f>C6/SUM(C4:C5)</f>
        <v>0.8920863309352518</v>
      </c>
    </row>
    <row r="11" spans="1:4" x14ac:dyDescent="0.3">
      <c r="B11" t="s">
        <v>6</v>
      </c>
    </row>
    <row r="13" spans="1:4" x14ac:dyDescent="0.3">
      <c r="B13" t="s">
        <v>0</v>
      </c>
      <c r="D13" s="3">
        <v>372</v>
      </c>
    </row>
    <row r="14" spans="1:4" x14ac:dyDescent="0.3">
      <c r="B14" s="1" t="s">
        <v>1</v>
      </c>
      <c r="C14" s="1"/>
      <c r="D14" s="4">
        <v>536</v>
      </c>
    </row>
    <row r="15" spans="1:4" x14ac:dyDescent="0.3">
      <c r="B15" t="s">
        <v>7</v>
      </c>
      <c r="D15" s="3">
        <f>SUM(D13:D14)</f>
        <v>908</v>
      </c>
    </row>
    <row r="16" spans="1:4" x14ac:dyDescent="0.3">
      <c r="B16" s="2" t="s">
        <v>8</v>
      </c>
      <c r="C16" s="7">
        <f>C9</f>
        <v>0.8920863309352518</v>
      </c>
      <c r="D16" s="4">
        <f>D15*C16</f>
        <v>810.01438848920861</v>
      </c>
    </row>
    <row r="17" spans="2:4" ht="15" thickBot="1" x14ac:dyDescent="0.35">
      <c r="B17" t="s">
        <v>9</v>
      </c>
      <c r="D17" s="8">
        <f>SUM(D15:D16)</f>
        <v>1718.0143884892086</v>
      </c>
    </row>
    <row r="18" spans="2:4" ht="15" thickTop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l20016</dc:creator>
  <cp:lastModifiedBy>Hinterholzer Stefan</cp:lastModifiedBy>
  <cp:lastPrinted>2011-03-24T14:18:28Z</cp:lastPrinted>
  <dcterms:created xsi:type="dcterms:W3CDTF">2011-03-24T08:39:53Z</dcterms:created>
  <dcterms:modified xsi:type="dcterms:W3CDTF">2024-02-15T16:38:56Z</dcterms:modified>
</cp:coreProperties>
</file>
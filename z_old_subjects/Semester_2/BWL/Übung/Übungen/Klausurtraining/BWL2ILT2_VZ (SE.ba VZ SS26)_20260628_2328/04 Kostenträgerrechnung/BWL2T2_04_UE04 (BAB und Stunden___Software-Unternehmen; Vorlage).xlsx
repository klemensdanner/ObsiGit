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SE-VZ_BWL2_T2/BWL2_T2 (VL-Teil)/BWL2T2_04_Kostenträgerrechnung (Kalkulation)/"/>
    </mc:Choice>
  </mc:AlternateContent>
  <xr:revisionPtr revIDLastSave="0" documentId="8_{3EEFAB77-C917-4DD5-9F40-4EAF047C26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F8" i="1"/>
  <c r="F7" i="1"/>
  <c r="E7" i="1"/>
  <c r="F6" i="1"/>
</calcChain>
</file>

<file path=xl/sharedStrings.xml><?xml version="1.0" encoding="utf-8"?>
<sst xmlns="http://schemas.openxmlformats.org/spreadsheetml/2006/main" count="45" uniqueCount="37">
  <si>
    <t xml:space="preserve">Kostenverteilung </t>
  </si>
  <si>
    <t>1.</t>
  </si>
  <si>
    <t>Honorare für Freelancer</t>
  </si>
  <si>
    <t>2.</t>
  </si>
  <si>
    <t>Gehälter Sekretariat</t>
  </si>
  <si>
    <t>3.</t>
  </si>
  <si>
    <t>Gehaltsnebenkosten Sekretariat</t>
  </si>
  <si>
    <t>4.</t>
  </si>
  <si>
    <t>Gehälter Geschäftsführer</t>
  </si>
  <si>
    <t>5.</t>
  </si>
  <si>
    <t>Gehaltsnebenkosten Geschäftsführer</t>
  </si>
  <si>
    <t>6.</t>
  </si>
  <si>
    <t>Miete/Betriebskosten</t>
  </si>
  <si>
    <t>7.</t>
  </si>
  <si>
    <t>Telekommunikation</t>
  </si>
  <si>
    <t>8.</t>
  </si>
  <si>
    <t>Lizenzgebühren</t>
  </si>
  <si>
    <t xml:space="preserve">9. </t>
  </si>
  <si>
    <t>Kalk. Abschreibungen</t>
  </si>
  <si>
    <t>10.</t>
  </si>
  <si>
    <t>Sonstige Kosten (Reisekosten, Steuern, Gebühren usw.)</t>
  </si>
  <si>
    <t>Leistungserstellung</t>
  </si>
  <si>
    <t>Vertrieb</t>
  </si>
  <si>
    <t>Verwaltung</t>
  </si>
  <si>
    <t>Kalkulation einer Leistungseinheit (Stunde)</t>
  </si>
  <si>
    <t>Einzelkosten (Freelancer)</t>
  </si>
  <si>
    <t>+ LE-Gemeinkosten</t>
  </si>
  <si>
    <t>Herstellkosten</t>
  </si>
  <si>
    <t>+ Vertriebsgemeinkosten</t>
  </si>
  <si>
    <t>+ Verwaltungsgemeinkosten</t>
  </si>
  <si>
    <t>Selbstkosten</t>
  </si>
  <si>
    <t>BWL2T2</t>
  </si>
  <si>
    <t>UE04 (BAB und Stundensatzkalkulation)</t>
  </si>
  <si>
    <t>BAB</t>
  </si>
  <si>
    <t>KALK</t>
  </si>
  <si>
    <t>EK</t>
  </si>
  <si>
    <t>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</si>
</sst>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2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3" fontId="1" fillId="0" borderId="1" xfId="0" applyNumberFormat="1" applyFont="1" applyBorder="1"/>
    <xf numFmtId="0" fontId="2" fillId="0" borderId="1" xfId="0" applyFont="1" applyBorder="1"/>
    <xf numFmtId="3" fontId="1" fillId="0" borderId="0" xfId="0" applyNumberFormat="1" applyFont="1"/>
    <xf numFmtId="3" fontId="3" fillId="0" borderId="0" xfId="0" applyNumberFormat="1" applyFont="1"/>
    <xf numFmtId="3" fontId="3" fillId="0" borderId="1" xfId="0" applyNumberFormat="1" applyFont="1" applyBorder="1"/>
    <xf numFmtId="3" fontId="1" fillId="3" borderId="1" xfId="0" applyNumberFormat="1" applyFont="1" applyFill="1" applyBorder="1"/>
    <xf numFmtId="3" fontId="3" fillId="2" borderId="1" xfId="0" applyNumberFormat="1" applyFont="1" applyFill="1" applyBorder="1"/>
    <xf numFmtId="0" fontId="4" fillId="0" borderId="0" xfId="0" applyFont="1"/>
    <xf numFmtId="0" fontId="3" fillId="0" borderId="0" xfId="0" applyFont="1"/>
    <xf numFmtId="0" fontId="3" fillId="0" borderId="0" xfId="0" quotePrefix="1" applyFont="1"/>
    <xf numFmtId="0" fontId="5" fillId="0" borderId="0" xfId="0" applyFont="1"/>
    <xf numFmtId="0" fontId="6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B14" sqref="B14"/>
    </sheetView>
  </sheetViews>
  <sheetFormatPr defaultColWidth="9.109375" defaultRowHeight="18" x14ac:dyDescent="0.35"/>
  <cols>
    <col min="1" max="1" width="11.44140625" style="1" customWidth="1"/>
    <col min="2" max="2" width="45" style="1" customWidth="1"/>
    <col min="3" max="3" width="13" style="1" customWidth="1"/>
    <col min="4" max="4" width="24.44140625" style="1" customWidth="1"/>
    <col min="5" max="5" width="14.109375" style="1" customWidth="1"/>
    <col min="6" max="6" width="16" style="1" customWidth="1"/>
    <col min="7" max="9" width="9.109375" style="1"/>
    <col min="10" max="10" width="9.88671875" style="1" bestFit="1" customWidth="1"/>
    <col min="11" max="16384" width="9.109375" style="1"/>
  </cols>
  <sheetData>
    <row r="1" spans="1:7" x14ac:dyDescent="0.35">
      <c r="A1" s="13" t="s">
        <v>31</v>
      </c>
      <c r="B1" s="14" t="s">
        <v>32</v>
      </c>
      <c r="D1" s="1" t="s">
        <v>0</v>
      </c>
    </row>
    <row r="3" spans="1:7" x14ac:dyDescent="0.35">
      <c r="A3" s="15" t="s">
        <v>33</v>
      </c>
      <c r="D3" s="1" t="s">
        <v>21</v>
      </c>
      <c r="E3" s="1" t="s">
        <v>22</v>
      </c>
      <c r="F3" s="1" t="s">
        <v>23</v>
      </c>
    </row>
    <row r="4" spans="1:7" x14ac:dyDescent="0.35">
      <c r="A4" s="2" t="s">
        <v>1</v>
      </c>
      <c r="B4" s="2" t="s">
        <v>2</v>
      </c>
      <c r="C4" s="8">
        <v>320000</v>
      </c>
      <c r="D4" s="9">
        <v>320000</v>
      </c>
      <c r="E4" s="4"/>
      <c r="F4" s="4"/>
      <c r="G4" s="1" t="s">
        <v>35</v>
      </c>
    </row>
    <row r="5" spans="1:7" x14ac:dyDescent="0.35">
      <c r="A5" s="1" t="s">
        <v>3</v>
      </c>
      <c r="B5" s="1" t="s">
        <v>4</v>
      </c>
      <c r="C5" s="5">
        <v>30000</v>
      </c>
      <c r="D5" s="6"/>
      <c r="E5" s="6"/>
      <c r="F5" s="6">
        <v>30000</v>
      </c>
      <c r="G5" s="1" t="s">
        <v>36</v>
      </c>
    </row>
    <row r="6" spans="1:7" x14ac:dyDescent="0.35">
      <c r="A6" s="1" t="s">
        <v>5</v>
      </c>
      <c r="B6" s="1" t="s">
        <v>6</v>
      </c>
      <c r="C6" s="5">
        <v>10000</v>
      </c>
      <c r="D6" s="6"/>
      <c r="E6" s="6"/>
      <c r="F6" s="6">
        <f>C6</f>
        <v>10000</v>
      </c>
      <c r="G6" s="1" t="s">
        <v>36</v>
      </c>
    </row>
    <row r="7" spans="1:7" x14ac:dyDescent="0.35">
      <c r="A7" s="1" t="s">
        <v>7</v>
      </c>
      <c r="B7" s="1" t="s">
        <v>8</v>
      </c>
      <c r="C7" s="5">
        <v>60000</v>
      </c>
      <c r="D7" s="6"/>
      <c r="E7" s="6">
        <f>C7*0.75</f>
        <v>45000</v>
      </c>
      <c r="F7" s="6">
        <f>C7*0.25</f>
        <v>15000</v>
      </c>
      <c r="G7" s="1" t="s">
        <v>36</v>
      </c>
    </row>
    <row r="8" spans="1:7" x14ac:dyDescent="0.35">
      <c r="A8" s="1" t="s">
        <v>9</v>
      </c>
      <c r="B8" s="1" t="s">
        <v>10</v>
      </c>
      <c r="C8" s="5">
        <v>50000</v>
      </c>
      <c r="D8" s="6"/>
      <c r="E8" s="6">
        <f>C8*0.75</f>
        <v>37500</v>
      </c>
      <c r="F8" s="6">
        <f>C8*0.25</f>
        <v>12500</v>
      </c>
      <c r="G8" s="1" t="s">
        <v>36</v>
      </c>
    </row>
    <row r="9" spans="1:7" x14ac:dyDescent="0.35">
      <c r="A9" s="1" t="s">
        <v>11</v>
      </c>
      <c r="B9" s="1" t="s">
        <v>12</v>
      </c>
      <c r="C9" s="5">
        <v>20000</v>
      </c>
      <c r="D9" s="6">
        <v>8000</v>
      </c>
      <c r="E9" s="6">
        <v>8000</v>
      </c>
      <c r="F9" s="6">
        <v>4000</v>
      </c>
      <c r="G9" s="1" t="s">
        <v>36</v>
      </c>
    </row>
    <row r="10" spans="1:7" x14ac:dyDescent="0.35">
      <c r="A10" s="1" t="s">
        <v>13</v>
      </c>
      <c r="B10" s="1" t="s">
        <v>14</v>
      </c>
      <c r="C10" s="5">
        <v>20000</v>
      </c>
      <c r="D10" s="6">
        <v>2000</v>
      </c>
      <c r="E10" s="6">
        <v>14000</v>
      </c>
      <c r="F10" s="6">
        <v>4000</v>
      </c>
      <c r="G10" s="1" t="s">
        <v>36</v>
      </c>
    </row>
    <row r="11" spans="1:7" x14ac:dyDescent="0.35">
      <c r="A11" s="1" t="s">
        <v>15</v>
      </c>
      <c r="B11" s="1" t="s">
        <v>16</v>
      </c>
      <c r="C11" s="5">
        <v>10000</v>
      </c>
      <c r="D11" s="6">
        <v>8000</v>
      </c>
      <c r="E11" s="6">
        <v>1000</v>
      </c>
      <c r="F11" s="6">
        <v>1000</v>
      </c>
      <c r="G11" s="1" t="s">
        <v>36</v>
      </c>
    </row>
    <row r="12" spans="1:7" x14ac:dyDescent="0.35">
      <c r="A12" s="1" t="s">
        <v>17</v>
      </c>
      <c r="B12" s="1" t="s">
        <v>18</v>
      </c>
      <c r="C12" s="5">
        <v>20000</v>
      </c>
      <c r="D12" s="6">
        <v>15000</v>
      </c>
      <c r="E12" s="6">
        <v>2500</v>
      </c>
      <c r="F12" s="6">
        <v>2500</v>
      </c>
      <c r="G12" s="1" t="s">
        <v>36</v>
      </c>
    </row>
    <row r="13" spans="1:7" x14ac:dyDescent="0.35">
      <c r="A13" s="1" t="s">
        <v>19</v>
      </c>
      <c r="B13" s="2" t="s">
        <v>20</v>
      </c>
      <c r="C13" s="3">
        <v>40000</v>
      </c>
      <c r="D13" s="7">
        <v>10000</v>
      </c>
      <c r="E13" s="7">
        <v>25000</v>
      </c>
      <c r="F13" s="7">
        <v>5000</v>
      </c>
      <c r="G13" s="1" t="s">
        <v>36</v>
      </c>
    </row>
    <row r="18" spans="1:2" x14ac:dyDescent="0.35">
      <c r="A18" s="15" t="s">
        <v>34</v>
      </c>
      <c r="B18" s="10" t="s">
        <v>24</v>
      </c>
    </row>
    <row r="19" spans="1:2" x14ac:dyDescent="0.35">
      <c r="B19" s="11"/>
    </row>
    <row r="20" spans="1:2" x14ac:dyDescent="0.35">
      <c r="B20" s="11" t="s">
        <v>25</v>
      </c>
    </row>
    <row r="21" spans="1:2" x14ac:dyDescent="0.35">
      <c r="B21" s="12" t="s">
        <v>26</v>
      </c>
    </row>
    <row r="22" spans="1:2" x14ac:dyDescent="0.35">
      <c r="B22" s="11" t="s">
        <v>27</v>
      </c>
    </row>
    <row r="23" spans="1:2" x14ac:dyDescent="0.35">
      <c r="B23" s="12" t="s">
        <v>28</v>
      </c>
    </row>
    <row r="24" spans="1:2" x14ac:dyDescent="0.35">
      <c r="B24" s="12" t="s">
        <v>29</v>
      </c>
    </row>
    <row r="25" spans="1:2" x14ac:dyDescent="0.35">
      <c r="B25" s="13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P20016</dc:creator>
  <cp:lastModifiedBy>Hinterholzer Stefan</cp:lastModifiedBy>
  <dcterms:created xsi:type="dcterms:W3CDTF">2010-05-28T08:52:46Z</dcterms:created>
  <dcterms:modified xsi:type="dcterms:W3CDTF">2024-02-19T20:33:02Z</dcterms:modified>
</cp:coreProperties>
</file>
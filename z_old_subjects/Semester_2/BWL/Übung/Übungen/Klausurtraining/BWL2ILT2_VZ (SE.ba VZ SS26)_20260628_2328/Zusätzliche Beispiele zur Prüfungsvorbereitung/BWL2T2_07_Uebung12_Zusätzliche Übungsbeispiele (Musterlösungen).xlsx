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BWL_RWE2\SS2015\7. Termin\"/>
    </mc:Choice>
  </mc:AlternateContent>
  <bookViews>
    <workbookView xWindow="600" yWindow="30" windowWidth="15480" windowHeight="11640"/>
  </bookViews>
  <sheets>
    <sheet name="Tabelle1" sheetId="1" r:id="rId1"/>
    <sheet name="Tabelle2" sheetId="2" r:id="rId2"/>
    <sheet name="Tabelle3" sheetId="3" r:id="rId3"/>
  </sheets>
  <calcPr calcId="152511"/>
</workbook>
</file>

<file path=xl/calcChain.xml><?xml version="1.0" encoding="utf-8"?>
<calcChain xmlns="http://schemas.openxmlformats.org/spreadsheetml/2006/main">
  <c r="E144" i="1" l="1"/>
  <c r="E142" i="1"/>
  <c r="E141" i="1"/>
  <c r="E140" i="1"/>
  <c r="E138" i="1"/>
  <c r="E137" i="1"/>
  <c r="E130" i="1"/>
  <c r="E136" i="1" l="1"/>
  <c r="E132" i="1" l="1"/>
  <c r="E134" i="1"/>
  <c r="E107" i="1" l="1"/>
  <c r="E110" i="1" s="1"/>
  <c r="E111" i="1" s="1"/>
  <c r="E97" i="1"/>
  <c r="E100" i="1" s="1"/>
  <c r="E86" i="1"/>
  <c r="E87" i="1" s="1"/>
  <c r="E77" i="1"/>
  <c r="E78" i="1" s="1"/>
  <c r="E80" i="1" s="1"/>
  <c r="G72" i="1"/>
  <c r="H62" i="1"/>
  <c r="H64" i="1" s="1"/>
  <c r="G62" i="1"/>
  <c r="G64" i="1" s="1"/>
  <c r="E55" i="1"/>
  <c r="E56" i="1"/>
  <c r="F55" i="1"/>
  <c r="F56" i="1" s="1"/>
  <c r="F50" i="1"/>
  <c r="E50" i="1"/>
  <c r="F49" i="1"/>
  <c r="E49" i="1"/>
  <c r="G40" i="1"/>
  <c r="G42" i="1"/>
  <c r="G43" i="1"/>
  <c r="H26" i="1"/>
  <c r="H28" i="1" s="1"/>
  <c r="G26" i="1"/>
  <c r="G28" i="1" s="1"/>
  <c r="F20" i="1"/>
  <c r="F21" i="1" s="1"/>
  <c r="F14" i="1"/>
  <c r="G14" i="1"/>
  <c r="E14" i="1"/>
  <c r="F15" i="1"/>
  <c r="G15" i="1"/>
  <c r="E15" i="1"/>
  <c r="H6" i="1"/>
  <c r="H7" i="1"/>
  <c r="H4" i="1"/>
  <c r="J28" i="1" l="1"/>
  <c r="C114" i="1"/>
</calcChain>
</file>

<file path=xl/sharedStrings.xml><?xml version="1.0" encoding="utf-8"?>
<sst xmlns="http://schemas.openxmlformats.org/spreadsheetml/2006/main" count="125" uniqueCount="96">
  <si>
    <t>Beach</t>
  </si>
  <si>
    <t>Surf</t>
  </si>
  <si>
    <t>Sun</t>
  </si>
  <si>
    <t>Fertigungsmat.</t>
  </si>
  <si>
    <t>Fertigungslöhne</t>
  </si>
  <si>
    <t>Gesamt</t>
  </si>
  <si>
    <t>Produktions-Menge</t>
  </si>
  <si>
    <t>Var. Selbstkosten je Stück</t>
  </si>
  <si>
    <t>NettoVerkaufspreis je Stück</t>
  </si>
  <si>
    <t>DB je Stück</t>
  </si>
  <si>
    <t>Gemeinkosten</t>
  </si>
  <si>
    <t>Selbstkosten je Stück</t>
  </si>
  <si>
    <t>Ergebnis(Gewinn) je Stück</t>
  </si>
  <si>
    <t>a)</t>
  </si>
  <si>
    <t>b)</t>
  </si>
  <si>
    <t>Zusatzauftrag Menge</t>
  </si>
  <si>
    <t>reduzierter NettoPreis</t>
  </si>
  <si>
    <t>DB bei reduz. Preis</t>
  </si>
  <si>
    <t>Zusätzlicher DB (=Gewinn)</t>
  </si>
  <si>
    <t>c)</t>
  </si>
  <si>
    <t>Originalpreis</t>
  </si>
  <si>
    <t>reduz.Preis</t>
  </si>
  <si>
    <t>Nettopreis</t>
  </si>
  <si>
    <t>DB</t>
  </si>
  <si>
    <t>Preissenkung und Mengensteigerung bei SUN</t>
  </si>
  <si>
    <t>Menge</t>
  </si>
  <si>
    <t>gesamt Deckungsbeitrag</t>
  </si>
  <si>
    <t>bei Preissenkung steigt DB und der Gewinn, daher Preis senken</t>
  </si>
  <si>
    <t>erhöhte Absatzmenge wirklich verkauft wird da der Geamtbedarf an Kappen nicht steigen wird)</t>
  </si>
  <si>
    <t>Effekte zu befürchten sind (z.b. andere Produkte mit hohem DB werden nicht mehr gekauft (Kannibalisierung),</t>
  </si>
  <si>
    <t>API-Freizeitkappen</t>
  </si>
  <si>
    <t>Exclusiv</t>
  </si>
  <si>
    <t>Fashion</t>
  </si>
  <si>
    <t>Damenstrumpfhosen</t>
  </si>
  <si>
    <t>Produktionsmenge bei Exclusiv erhöhen bringt den höchsten DB/Zusatzgewinn (EUR 5.496)</t>
  </si>
  <si>
    <t>Preissenkung und Mengensteigerung bei FASHION</t>
  </si>
  <si>
    <t>UE 09.3   ---   Programmentscheidungen</t>
  </si>
  <si>
    <t>Pedalo Schuhproduktion</t>
  </si>
  <si>
    <t>Sandale</t>
  </si>
  <si>
    <t>DB-Gesamt</t>
  </si>
  <si>
    <t>Fixkosten</t>
  </si>
  <si>
    <t>Ergebnis (VERLUST!)</t>
  </si>
  <si>
    <t xml:space="preserve">Zusatzauftrag annehmen (bringt 25.000 DB und </t>
  </si>
  <si>
    <t>verbessert das Ergebnis von -5.000 auf +20.000)</t>
  </si>
  <si>
    <t>UE 09.4   ---   Break-Even-Analyse</t>
  </si>
  <si>
    <t>Autowaschanlage</t>
  </si>
  <si>
    <t xml:space="preserve">    Raumkosten</t>
  </si>
  <si>
    <t xml:space="preserve">    Versicherung</t>
  </si>
  <si>
    <t xml:space="preserve">    Material</t>
  </si>
  <si>
    <t xml:space="preserve">    Wasser(1,50 x 0,2)</t>
  </si>
  <si>
    <t xml:space="preserve">    Strom(0,15 x 2)</t>
  </si>
  <si>
    <t xml:space="preserve">    Instandhaltung</t>
  </si>
  <si>
    <t>Erlös je Autowäsche</t>
  </si>
  <si>
    <t>Var. Kosten je Wäsche</t>
  </si>
  <si>
    <t>Anzahl der Wäschen je Jahr, um Fixkosten durch DB zu decken</t>
  </si>
  <si>
    <t>Autowäschen je Jahr</t>
  </si>
  <si>
    <t>jede Wäsche über dieser Anzahl bringt EUR 6,35 Zusatzgewinn</t>
  </si>
  <si>
    <t>jede Wäsche unter dieser Anzahl verursacht EUR 1,65 Verlust</t>
  </si>
  <si>
    <t>fixe Kosten je Jahr:</t>
  </si>
  <si>
    <t>var. Kosten je Autowäsche:</t>
  </si>
  <si>
    <t xml:space="preserve">   Abschreibung (42.500 / 5 Jahre)</t>
  </si>
  <si>
    <t>db</t>
  </si>
  <si>
    <t>db bei reduz. Preis</t>
  </si>
  <si>
    <t>Untersch.</t>
  </si>
  <si>
    <t>mehr Gewinn</t>
  </si>
  <si>
    <t>Es ist allerdings zu überlegen den Preis wirklich zu senken, da andere negative</t>
  </si>
  <si>
    <t>(gerundet 2765)</t>
  </si>
  <si>
    <t>UE 11.1. DB-Rechnung</t>
  </si>
  <si>
    <t>reduzierter NettoVerkaufspreis</t>
  </si>
  <si>
    <t>db (je Stück)</t>
  </si>
  <si>
    <t>Ergebnis (Gewinn) je Stück</t>
  </si>
  <si>
    <t>Auftrag annehmen zur Gewinnsteigerung !</t>
  </si>
  <si>
    <t>Generelles Sinken des Preisniveaus bei dieser Produktgruppe, keine Garantie wie lange die</t>
  </si>
  <si>
    <t>Gewöhnungseffekt !</t>
  </si>
  <si>
    <t>gesamter Deckungsbeitrag</t>
  </si>
  <si>
    <t>UE 11.2. Programmentscheidungen</t>
  </si>
  <si>
    <t>Deckungsbeitrag je Stück (db)</t>
  </si>
  <si>
    <t>UE 09.5. ---- Break Even Analys4e</t>
  </si>
  <si>
    <t>Produktionsmengen</t>
  </si>
  <si>
    <t>Jänner</t>
  </si>
  <si>
    <t>Feburar</t>
  </si>
  <si>
    <t>Gesamtkosten (kv + Kf)</t>
  </si>
  <si>
    <t>Mtl. Verkaufserlöse (Umsatz)</t>
  </si>
  <si>
    <t>Veränderung (Jänner auf Feb.)</t>
  </si>
  <si>
    <t>das sind variable Kosten</t>
  </si>
  <si>
    <t>folglich:</t>
  </si>
  <si>
    <t>für wieviel Stück mehr</t>
  </si>
  <si>
    <t>kv (je Stk.)</t>
  </si>
  <si>
    <t>Stückerlöse (p)</t>
  </si>
  <si>
    <t>- variable Kosten</t>
  </si>
  <si>
    <t>var. Kosten bei 5.000 Stück</t>
  </si>
  <si>
    <t>Gesamtkosten bie 5.000 Stück</t>
  </si>
  <si>
    <t xml:space="preserve">somit Fixkosten </t>
  </si>
  <si>
    <t>Break Even Point</t>
  </si>
  <si>
    <t>=</t>
  </si>
  <si>
    <t>db je Autowäsche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</si>
</sst>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43" formatCode="_-* #,##0.00_-;\-* #,##0.00_-;_-* &quot;-&quot;??_-;_-@_-"/>
    <numFmt numFmtId="164" formatCode="#,##0.00_ ;\-#,##0.00\ "/>
  </numFmts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0" fillId="0" borderId="0" xfId="1" applyNumberFormat="1" applyFont="1"/>
    <xf numFmtId="164" fontId="0" fillId="0" borderId="0" xfId="1" applyNumberFormat="1" applyFont="1"/>
    <xf numFmtId="41" fontId="0" fillId="0" borderId="1" xfId="1" applyNumberFormat="1" applyFont="1" applyBorder="1"/>
    <xf numFmtId="41" fontId="0" fillId="0" borderId="2" xfId="1" applyNumberFormat="1" applyFont="1" applyBorder="1"/>
    <xf numFmtId="164" fontId="0" fillId="0" borderId="2" xfId="1" applyNumberFormat="1" applyFont="1" applyBorder="1"/>
    <xf numFmtId="41" fontId="0" fillId="0" borderId="3" xfId="1" applyNumberFormat="1" applyFont="1" applyBorder="1"/>
    <xf numFmtId="41" fontId="1" fillId="0" borderId="0" xfId="1" applyNumberFormat="1" applyFont="1"/>
    <xf numFmtId="41" fontId="0" fillId="2" borderId="0" xfId="1" applyNumberFormat="1" applyFont="1" applyFill="1"/>
    <xf numFmtId="41" fontId="0" fillId="0" borderId="1" xfId="1" applyNumberFormat="1" applyFont="1" applyBorder="1" applyAlignment="1">
      <alignment horizontal="center"/>
    </xf>
    <xf numFmtId="41" fontId="2" fillId="3" borderId="0" xfId="1" applyNumberFormat="1" applyFont="1" applyFill="1"/>
    <xf numFmtId="41" fontId="0" fillId="3" borderId="0" xfId="1" applyNumberFormat="1" applyFont="1" applyFill="1"/>
    <xf numFmtId="43" fontId="0" fillId="0" borderId="0" xfId="1" applyNumberFormat="1" applyFont="1"/>
    <xf numFmtId="41" fontId="1" fillId="0" borderId="0" xfId="1" quotePrefix="1" applyNumberFormat="1" applyFont="1"/>
    <xf numFmtId="41" fontId="1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4"/>
  <sheetViews>
    <sheetView tabSelected="1" topLeftCell="C1" zoomScale="136" zoomScaleNormal="136" workbookViewId="0">
      <selection activeCell="G111" sqref="G111"/>
    </sheetView>
  </sheetViews>
  <sheetFormatPr defaultColWidth="11.42578125" defaultRowHeight="12.75" x14ac:dyDescent="0.2"/>
  <cols>
    <col min="1" max="1" width="4" style="1" customWidth="1"/>
    <col min="2" max="2" width="4.5703125" style="1" customWidth="1"/>
    <col min="3" max="3" width="27.5703125" style="1" customWidth="1"/>
    <col min="4" max="7" width="11.42578125" style="1"/>
    <col min="8" max="8" width="12.28515625" style="1" bestFit="1" customWidth="1"/>
    <col min="9" max="16384" width="11.42578125" style="1"/>
  </cols>
  <sheetData>
    <row r="1" spans="1:8" x14ac:dyDescent="0.2">
      <c r="A1" s="10" t="s">
        <v>67</v>
      </c>
      <c r="B1" s="11"/>
      <c r="C1" s="10"/>
    </row>
    <row r="3" spans="1:8" x14ac:dyDescent="0.2">
      <c r="C3" s="3" t="s">
        <v>30</v>
      </c>
      <c r="D3" s="3"/>
      <c r="E3" s="9" t="s">
        <v>0</v>
      </c>
      <c r="F3" s="9" t="s">
        <v>1</v>
      </c>
      <c r="G3" s="9" t="s">
        <v>2</v>
      </c>
      <c r="H3" s="3" t="s">
        <v>5</v>
      </c>
    </row>
    <row r="4" spans="1:8" x14ac:dyDescent="0.2">
      <c r="C4" s="1" t="s">
        <v>6</v>
      </c>
      <c r="E4" s="1">
        <v>100000</v>
      </c>
      <c r="F4" s="1">
        <v>80000</v>
      </c>
      <c r="G4" s="1">
        <v>100000</v>
      </c>
      <c r="H4" s="1">
        <f>SUM(E4:G4)</f>
        <v>280000</v>
      </c>
    </row>
    <row r="6" spans="1:8" x14ac:dyDescent="0.2">
      <c r="C6" s="1" t="s">
        <v>3</v>
      </c>
      <c r="E6" s="1">
        <v>200000</v>
      </c>
      <c r="F6" s="1">
        <v>120000</v>
      </c>
      <c r="G6" s="1">
        <v>110000</v>
      </c>
      <c r="H6" s="1">
        <f>SUM(E6:G6)</f>
        <v>430000</v>
      </c>
    </row>
    <row r="7" spans="1:8" x14ac:dyDescent="0.2">
      <c r="C7" s="1" t="s">
        <v>4</v>
      </c>
      <c r="E7" s="1">
        <v>210000</v>
      </c>
      <c r="F7" s="1">
        <v>100000</v>
      </c>
      <c r="G7" s="1">
        <v>120000</v>
      </c>
      <c r="H7" s="1">
        <f>SUM(E7:G7)</f>
        <v>430000</v>
      </c>
    </row>
    <row r="8" spans="1:8" x14ac:dyDescent="0.2">
      <c r="C8" s="1" t="s">
        <v>10</v>
      </c>
      <c r="H8" s="1">
        <v>1543700</v>
      </c>
    </row>
    <row r="9" spans="1:8" x14ac:dyDescent="0.2">
      <c r="E9" s="2"/>
      <c r="F9" s="2"/>
      <c r="G9" s="2"/>
      <c r="H9" s="2"/>
    </row>
    <row r="10" spans="1:8" x14ac:dyDescent="0.2">
      <c r="C10" s="1" t="s">
        <v>11</v>
      </c>
      <c r="E10" s="2">
        <v>11.6</v>
      </c>
      <c r="F10" s="2">
        <v>7.35</v>
      </c>
      <c r="G10" s="2">
        <v>6.57</v>
      </c>
      <c r="H10" s="2"/>
    </row>
    <row r="11" spans="1:8" x14ac:dyDescent="0.2">
      <c r="C11" s="1" t="s">
        <v>7</v>
      </c>
      <c r="E11" s="2">
        <v>6.99</v>
      </c>
      <c r="F11" s="2">
        <v>4.51</v>
      </c>
      <c r="G11" s="2">
        <v>3.94</v>
      </c>
      <c r="H11" s="2"/>
    </row>
    <row r="12" spans="1:8" x14ac:dyDescent="0.2">
      <c r="C12" s="1" t="s">
        <v>8</v>
      </c>
      <c r="E12" s="2">
        <v>14</v>
      </c>
      <c r="F12" s="2">
        <v>6.9</v>
      </c>
      <c r="G12" s="2">
        <v>8</v>
      </c>
    </row>
    <row r="13" spans="1:8" x14ac:dyDescent="0.2">
      <c r="E13" s="2"/>
      <c r="F13" s="2"/>
      <c r="G13" s="2"/>
    </row>
    <row r="14" spans="1:8" x14ac:dyDescent="0.2">
      <c r="B14" s="1" t="s">
        <v>13</v>
      </c>
      <c r="C14" s="1" t="s">
        <v>70</v>
      </c>
      <c r="E14" s="2">
        <f>E12-E10</f>
        <v>2.4000000000000004</v>
      </c>
      <c r="F14" s="2">
        <f>F12-F10</f>
        <v>-0.44999999999999929</v>
      </c>
      <c r="G14" s="2">
        <f>G12-G10</f>
        <v>1.4299999999999997</v>
      </c>
    </row>
    <row r="15" spans="1:8" x14ac:dyDescent="0.2">
      <c r="C15" s="1" t="s">
        <v>69</v>
      </c>
      <c r="E15" s="2">
        <f>E12-E11</f>
        <v>7.01</v>
      </c>
      <c r="F15" s="2">
        <f>F12-F11</f>
        <v>2.3900000000000006</v>
      </c>
      <c r="G15" s="2">
        <f>G12-G11</f>
        <v>4.0600000000000005</v>
      </c>
    </row>
    <row r="18" spans="2:11" x14ac:dyDescent="0.2">
      <c r="B18" s="1" t="s">
        <v>14</v>
      </c>
      <c r="C18" s="1" t="s">
        <v>15</v>
      </c>
      <c r="F18" s="1">
        <v>30000</v>
      </c>
    </row>
    <row r="19" spans="2:11" x14ac:dyDescent="0.2">
      <c r="C19" s="1" t="s">
        <v>68</v>
      </c>
      <c r="F19" s="2">
        <v>6.3</v>
      </c>
    </row>
    <row r="20" spans="2:11" x14ac:dyDescent="0.2">
      <c r="C20" s="7" t="s">
        <v>62</v>
      </c>
      <c r="F20" s="2">
        <f>F19-F11</f>
        <v>1.79</v>
      </c>
    </row>
    <row r="21" spans="2:11" x14ac:dyDescent="0.2">
      <c r="C21" s="1" t="s">
        <v>18</v>
      </c>
      <c r="F21" s="2">
        <f>F20*F18</f>
        <v>53700</v>
      </c>
    </row>
    <row r="22" spans="2:11" x14ac:dyDescent="0.2">
      <c r="E22" s="2" t="s">
        <v>71</v>
      </c>
    </row>
    <row r="24" spans="2:11" x14ac:dyDescent="0.2">
      <c r="B24" s="1" t="s">
        <v>19</v>
      </c>
      <c r="C24" s="1" t="s">
        <v>24</v>
      </c>
      <c r="E24" s="2"/>
      <c r="F24" s="2"/>
      <c r="G24" s="2" t="s">
        <v>20</v>
      </c>
      <c r="H24" s="2" t="s">
        <v>21</v>
      </c>
    </row>
    <row r="25" spans="2:11" x14ac:dyDescent="0.2">
      <c r="C25" s="1" t="s">
        <v>22</v>
      </c>
      <c r="E25" s="2"/>
      <c r="F25" s="2"/>
      <c r="G25" s="1">
        <v>8</v>
      </c>
      <c r="H25" s="2">
        <v>7.5</v>
      </c>
    </row>
    <row r="26" spans="2:11" x14ac:dyDescent="0.2">
      <c r="C26" s="7" t="s">
        <v>61</v>
      </c>
      <c r="E26" s="2"/>
      <c r="F26" s="2"/>
      <c r="G26" s="2">
        <f>G25-G11</f>
        <v>4.0600000000000005</v>
      </c>
      <c r="H26" s="2">
        <f>H25-G11</f>
        <v>3.56</v>
      </c>
    </row>
    <row r="27" spans="2:11" x14ac:dyDescent="0.2">
      <c r="C27" s="1" t="s">
        <v>25</v>
      </c>
      <c r="E27" s="2"/>
      <c r="F27" s="2"/>
      <c r="G27" s="1">
        <v>100000</v>
      </c>
      <c r="H27" s="1">
        <v>130000</v>
      </c>
    </row>
    <row r="28" spans="2:11" x14ac:dyDescent="0.2">
      <c r="C28" s="1" t="s">
        <v>74</v>
      </c>
      <c r="E28" s="2"/>
      <c r="F28" s="2"/>
      <c r="G28" s="1">
        <f>G27*G26</f>
        <v>406000.00000000006</v>
      </c>
      <c r="H28" s="1">
        <f>H27*H26</f>
        <v>462800</v>
      </c>
      <c r="I28" s="1" t="s">
        <v>63</v>
      </c>
      <c r="J28" s="1">
        <f>H28-G28</f>
        <v>56799.999999999942</v>
      </c>
      <c r="K28" s="1" t="s">
        <v>64</v>
      </c>
    </row>
    <row r="29" spans="2:11" x14ac:dyDescent="0.2">
      <c r="E29" s="2" t="s">
        <v>27</v>
      </c>
      <c r="F29" s="2"/>
      <c r="G29" s="2"/>
      <c r="H29" s="2"/>
    </row>
    <row r="30" spans="2:11" x14ac:dyDescent="0.2">
      <c r="D30" s="1" t="s">
        <v>65</v>
      </c>
      <c r="E30" s="2"/>
      <c r="F30" s="2"/>
      <c r="G30" s="2"/>
      <c r="H30" s="2"/>
    </row>
    <row r="31" spans="2:11" x14ac:dyDescent="0.2">
      <c r="D31" s="1" t="s">
        <v>29</v>
      </c>
      <c r="E31" s="2"/>
      <c r="F31" s="2"/>
      <c r="G31" s="2"/>
      <c r="H31" s="2"/>
    </row>
    <row r="32" spans="2:11" x14ac:dyDescent="0.2">
      <c r="D32" s="1" t="s">
        <v>72</v>
      </c>
    </row>
    <row r="33" spans="1:7" x14ac:dyDescent="0.2">
      <c r="D33" s="1" t="s">
        <v>28</v>
      </c>
    </row>
    <row r="34" spans="1:7" x14ac:dyDescent="0.2">
      <c r="D34" s="1" t="s">
        <v>73</v>
      </c>
    </row>
    <row r="37" spans="1:7" x14ac:dyDescent="0.2">
      <c r="A37" s="10" t="s">
        <v>75</v>
      </c>
      <c r="B37" s="10"/>
      <c r="C37" s="10"/>
      <c r="D37" s="10"/>
    </row>
    <row r="39" spans="1:7" x14ac:dyDescent="0.2">
      <c r="C39" s="3" t="s">
        <v>33</v>
      </c>
      <c r="D39" s="3"/>
      <c r="E39" s="3" t="s">
        <v>31</v>
      </c>
      <c r="F39" s="3" t="s">
        <v>32</v>
      </c>
      <c r="G39" s="3" t="s">
        <v>5</v>
      </c>
    </row>
    <row r="40" spans="1:7" x14ac:dyDescent="0.2">
      <c r="C40" s="1" t="s">
        <v>25</v>
      </c>
      <c r="E40" s="1">
        <v>5000</v>
      </c>
      <c r="F40" s="1">
        <v>10000</v>
      </c>
      <c r="G40" s="1">
        <f>SUM(E40:F40)</f>
        <v>15000</v>
      </c>
    </row>
    <row r="42" spans="1:7" x14ac:dyDescent="0.2">
      <c r="C42" s="1" t="s">
        <v>3</v>
      </c>
      <c r="E42" s="1">
        <v>20000</v>
      </c>
      <c r="F42" s="1">
        <v>16000</v>
      </c>
      <c r="G42" s="1">
        <f>SUM(E42:F42)</f>
        <v>36000</v>
      </c>
    </row>
    <row r="43" spans="1:7" x14ac:dyDescent="0.2">
      <c r="C43" s="1" t="s">
        <v>4</v>
      </c>
      <c r="E43" s="1">
        <v>32000</v>
      </c>
      <c r="F43" s="1">
        <v>11000</v>
      </c>
      <c r="G43" s="1">
        <f>SUM(E43:F43)</f>
        <v>43000</v>
      </c>
    </row>
    <row r="44" spans="1:7" x14ac:dyDescent="0.2">
      <c r="E44" s="2"/>
      <c r="F44" s="2"/>
      <c r="G44" s="2"/>
    </row>
    <row r="45" spans="1:7" x14ac:dyDescent="0.2">
      <c r="C45" s="1" t="s">
        <v>11</v>
      </c>
      <c r="E45" s="2">
        <v>32.06</v>
      </c>
      <c r="F45" s="2">
        <v>6.7</v>
      </c>
      <c r="G45" s="2"/>
    </row>
    <row r="46" spans="1:7" x14ac:dyDescent="0.2">
      <c r="C46" s="1" t="s">
        <v>7</v>
      </c>
      <c r="E46" s="2">
        <v>18.260000000000002</v>
      </c>
      <c r="F46" s="2">
        <v>4.12</v>
      </c>
      <c r="G46" s="2"/>
    </row>
    <row r="47" spans="1:7" x14ac:dyDescent="0.2">
      <c r="C47" s="1" t="s">
        <v>8</v>
      </c>
      <c r="E47" s="2">
        <v>36</v>
      </c>
      <c r="F47" s="2">
        <v>6.3</v>
      </c>
    </row>
    <row r="49" spans="2:8" x14ac:dyDescent="0.2">
      <c r="B49" s="1" t="s">
        <v>13</v>
      </c>
      <c r="C49" s="1" t="s">
        <v>12</v>
      </c>
      <c r="E49" s="2">
        <f>E47-E45</f>
        <v>3.9399999999999977</v>
      </c>
      <c r="F49" s="2">
        <f>F47-F45</f>
        <v>-0.40000000000000036</v>
      </c>
    </row>
    <row r="50" spans="2:8" x14ac:dyDescent="0.2">
      <c r="C50" s="1" t="s">
        <v>9</v>
      </c>
      <c r="E50" s="2">
        <f>E47-E46</f>
        <v>17.739999999999998</v>
      </c>
      <c r="F50" s="2">
        <f>F47-F46</f>
        <v>2.1799999999999997</v>
      </c>
    </row>
    <row r="53" spans="2:8" x14ac:dyDescent="0.2">
      <c r="B53" s="1" t="s">
        <v>14</v>
      </c>
      <c r="C53" s="1" t="s">
        <v>15</v>
      </c>
      <c r="E53" s="1">
        <v>400</v>
      </c>
      <c r="F53" s="1">
        <v>2000</v>
      </c>
    </row>
    <row r="54" spans="2:8" x14ac:dyDescent="0.2">
      <c r="C54" s="1" t="s">
        <v>16</v>
      </c>
      <c r="E54" s="1">
        <v>32</v>
      </c>
      <c r="F54" s="2">
        <v>6</v>
      </c>
    </row>
    <row r="55" spans="2:8" x14ac:dyDescent="0.2">
      <c r="C55" s="1" t="s">
        <v>17</v>
      </c>
      <c r="E55" s="2">
        <f>E54-E46</f>
        <v>13.739999999999998</v>
      </c>
      <c r="F55" s="2">
        <f>F54-F46</f>
        <v>1.88</v>
      </c>
    </row>
    <row r="56" spans="2:8" x14ac:dyDescent="0.2">
      <c r="C56" s="1" t="s">
        <v>18</v>
      </c>
      <c r="E56" s="2">
        <f>E55*E53</f>
        <v>5495.9999999999991</v>
      </c>
      <c r="F56" s="2">
        <f>F55*F53</f>
        <v>3760</v>
      </c>
    </row>
    <row r="57" spans="2:8" x14ac:dyDescent="0.2">
      <c r="E57" s="1" t="s">
        <v>34</v>
      </c>
    </row>
    <row r="60" spans="2:8" x14ac:dyDescent="0.2">
      <c r="B60" s="1" t="s">
        <v>19</v>
      </c>
      <c r="C60" s="1" t="s">
        <v>35</v>
      </c>
      <c r="E60" s="2"/>
      <c r="F60" s="2"/>
      <c r="G60" s="2" t="s">
        <v>20</v>
      </c>
      <c r="H60" s="2" t="s">
        <v>21</v>
      </c>
    </row>
    <row r="61" spans="2:8" x14ac:dyDescent="0.2">
      <c r="C61" s="1" t="s">
        <v>22</v>
      </c>
      <c r="E61" s="2"/>
      <c r="F61" s="2"/>
      <c r="G61" s="2">
        <v>6.3</v>
      </c>
      <c r="H61" s="2">
        <v>5.9</v>
      </c>
    </row>
    <row r="62" spans="2:8" x14ac:dyDescent="0.2">
      <c r="C62" s="1" t="s">
        <v>23</v>
      </c>
      <c r="E62" s="2"/>
      <c r="F62" s="2"/>
      <c r="G62" s="2">
        <f>G61-F46</f>
        <v>2.1799999999999997</v>
      </c>
      <c r="H62" s="2">
        <f>H61-F46</f>
        <v>1.7800000000000002</v>
      </c>
    </row>
    <row r="63" spans="2:8" x14ac:dyDescent="0.2">
      <c r="C63" s="1" t="s">
        <v>25</v>
      </c>
      <c r="E63" s="2"/>
      <c r="F63" s="2"/>
      <c r="G63" s="1">
        <v>10000</v>
      </c>
      <c r="H63" s="1">
        <v>13000</v>
      </c>
    </row>
    <row r="64" spans="2:8" x14ac:dyDescent="0.2">
      <c r="C64" s="1" t="s">
        <v>26</v>
      </c>
      <c r="E64" s="2"/>
      <c r="F64" s="2"/>
      <c r="G64" s="1">
        <f>G63*G62</f>
        <v>21799.999999999996</v>
      </c>
      <c r="H64" s="1">
        <f>H63*H62</f>
        <v>23140.000000000004</v>
      </c>
    </row>
    <row r="65" spans="1:8" x14ac:dyDescent="0.2">
      <c r="E65" s="2" t="s">
        <v>27</v>
      </c>
      <c r="F65" s="2"/>
      <c r="G65" s="2"/>
      <c r="H65" s="2"/>
    </row>
    <row r="66" spans="1:8" x14ac:dyDescent="0.2">
      <c r="E66" s="2"/>
      <c r="F66" s="2"/>
      <c r="G66" s="2"/>
      <c r="H66" s="2"/>
    </row>
    <row r="67" spans="1:8" x14ac:dyDescent="0.2">
      <c r="E67" s="2"/>
      <c r="F67" s="2"/>
      <c r="G67" s="2"/>
      <c r="H67" s="2"/>
    </row>
    <row r="69" spans="1:8" x14ac:dyDescent="0.2">
      <c r="A69" s="1" t="s">
        <v>36</v>
      </c>
    </row>
    <row r="71" spans="1:8" x14ac:dyDescent="0.2">
      <c r="C71" s="3" t="s">
        <v>37</v>
      </c>
      <c r="D71" s="3"/>
      <c r="E71" s="3" t="s">
        <v>38</v>
      </c>
      <c r="F71" s="3"/>
      <c r="G71" s="3" t="s">
        <v>5</v>
      </c>
    </row>
    <row r="72" spans="1:8" x14ac:dyDescent="0.2">
      <c r="C72" s="1" t="s">
        <v>25</v>
      </c>
      <c r="E72" s="1">
        <v>5000</v>
      </c>
      <c r="G72" s="1">
        <f>SUM(E72:F72)</f>
        <v>5000</v>
      </c>
    </row>
    <row r="74" spans="1:8" x14ac:dyDescent="0.2">
      <c r="C74" s="1" t="s">
        <v>7</v>
      </c>
      <c r="E74" s="2">
        <v>30</v>
      </c>
      <c r="F74" s="2"/>
      <c r="G74" s="2"/>
    </row>
    <row r="75" spans="1:8" x14ac:dyDescent="0.2">
      <c r="C75" s="1" t="s">
        <v>8</v>
      </c>
      <c r="E75" s="2">
        <v>50</v>
      </c>
      <c r="F75" s="2"/>
    </row>
    <row r="77" spans="1:8" x14ac:dyDescent="0.2">
      <c r="B77" s="1" t="s">
        <v>13</v>
      </c>
      <c r="C77" s="1" t="s">
        <v>76</v>
      </c>
      <c r="E77" s="2">
        <f>E75-E74</f>
        <v>20</v>
      </c>
      <c r="F77" s="2"/>
    </row>
    <row r="78" spans="1:8" x14ac:dyDescent="0.2">
      <c r="C78" s="1" t="s">
        <v>39</v>
      </c>
      <c r="E78" s="1">
        <f>E77*E72</f>
        <v>100000</v>
      </c>
    </row>
    <row r="79" spans="1:8" x14ac:dyDescent="0.2">
      <c r="C79" s="1" t="s">
        <v>40</v>
      </c>
      <c r="E79" s="1">
        <v>105000</v>
      </c>
    </row>
    <row r="80" spans="1:8" x14ac:dyDescent="0.2">
      <c r="C80" s="1" t="s">
        <v>41</v>
      </c>
      <c r="E80" s="1">
        <f>E78-E79</f>
        <v>-5000</v>
      </c>
    </row>
    <row r="83" spans="1:8" x14ac:dyDescent="0.2">
      <c r="B83" s="1" t="s">
        <v>14</v>
      </c>
      <c r="C83" s="1" t="s">
        <v>15</v>
      </c>
      <c r="E83" s="1">
        <v>5000</v>
      </c>
    </row>
    <row r="84" spans="1:8" x14ac:dyDescent="0.2">
      <c r="C84" s="1" t="s">
        <v>7</v>
      </c>
      <c r="E84" s="2">
        <v>25</v>
      </c>
      <c r="F84" s="2"/>
    </row>
    <row r="85" spans="1:8" x14ac:dyDescent="0.2">
      <c r="C85" s="1" t="s">
        <v>8</v>
      </c>
      <c r="E85" s="2">
        <v>30</v>
      </c>
      <c r="F85" s="2"/>
    </row>
    <row r="86" spans="1:8" x14ac:dyDescent="0.2">
      <c r="C86" s="1" t="s">
        <v>9</v>
      </c>
      <c r="E86" s="2">
        <f>E85-E84</f>
        <v>5</v>
      </c>
      <c r="F86" s="2"/>
    </row>
    <row r="87" spans="1:8" x14ac:dyDescent="0.2">
      <c r="C87" s="1" t="s">
        <v>18</v>
      </c>
      <c r="E87" s="2">
        <f>E86*E83</f>
        <v>25000</v>
      </c>
      <c r="F87" s="2"/>
    </row>
    <row r="88" spans="1:8" x14ac:dyDescent="0.2">
      <c r="E88" s="1" t="s">
        <v>42</v>
      </c>
    </row>
    <row r="89" spans="1:8" x14ac:dyDescent="0.2">
      <c r="E89" s="1" t="s">
        <v>43</v>
      </c>
    </row>
    <row r="91" spans="1:8" x14ac:dyDescent="0.2">
      <c r="E91" s="2"/>
      <c r="F91" s="2"/>
      <c r="G91" s="2"/>
      <c r="H91" s="2"/>
    </row>
    <row r="92" spans="1:8" x14ac:dyDescent="0.2">
      <c r="E92" s="2"/>
      <c r="F92" s="2"/>
      <c r="G92" s="2"/>
      <c r="H92" s="2"/>
    </row>
    <row r="93" spans="1:8" x14ac:dyDescent="0.2">
      <c r="A93" s="1" t="s">
        <v>44</v>
      </c>
    </row>
    <row r="95" spans="1:8" x14ac:dyDescent="0.2">
      <c r="C95" s="3" t="s">
        <v>45</v>
      </c>
      <c r="D95" s="3"/>
      <c r="E95" s="3"/>
    </row>
    <row r="96" spans="1:8" x14ac:dyDescent="0.2">
      <c r="C96" s="1" t="s">
        <v>58</v>
      </c>
    </row>
    <row r="97" spans="3:7" x14ac:dyDescent="0.2">
      <c r="C97" s="1" t="s">
        <v>60</v>
      </c>
      <c r="E97" s="1">
        <f>42500/5</f>
        <v>8500</v>
      </c>
    </row>
    <row r="98" spans="3:7" x14ac:dyDescent="0.2">
      <c r="C98" s="1" t="s">
        <v>46</v>
      </c>
      <c r="E98" s="1">
        <v>7000</v>
      </c>
      <c r="F98" s="2"/>
      <c r="G98" s="2"/>
    </row>
    <row r="99" spans="3:7" x14ac:dyDescent="0.2">
      <c r="C99" s="1" t="s">
        <v>47</v>
      </c>
      <c r="E99" s="1">
        <v>1500</v>
      </c>
      <c r="F99" s="2"/>
    </row>
    <row r="100" spans="3:7" ht="13.5" thickBot="1" x14ac:dyDescent="0.25">
      <c r="E100" s="4">
        <f>SUM(E97:E99)</f>
        <v>17000</v>
      </c>
      <c r="F100" s="2"/>
    </row>
    <row r="101" spans="3:7" ht="13.5" thickTop="1" x14ac:dyDescent="0.2"/>
    <row r="102" spans="3:7" x14ac:dyDescent="0.2">
      <c r="C102" s="1" t="s">
        <v>59</v>
      </c>
      <c r="F102" s="2"/>
    </row>
    <row r="103" spans="3:7" x14ac:dyDescent="0.2">
      <c r="C103" s="1" t="s">
        <v>48</v>
      </c>
      <c r="E103" s="2">
        <v>0.2</v>
      </c>
    </row>
    <row r="104" spans="3:7" x14ac:dyDescent="0.2">
      <c r="C104" s="1" t="s">
        <v>49</v>
      </c>
      <c r="E104" s="2">
        <v>0.3</v>
      </c>
    </row>
    <row r="105" spans="3:7" x14ac:dyDescent="0.2">
      <c r="C105" s="1" t="s">
        <v>50</v>
      </c>
      <c r="E105" s="2">
        <v>0.3</v>
      </c>
    </row>
    <row r="106" spans="3:7" x14ac:dyDescent="0.2">
      <c r="C106" s="1" t="s">
        <v>51</v>
      </c>
      <c r="E106" s="2">
        <v>1.05</v>
      </c>
    </row>
    <row r="107" spans="3:7" ht="13.5" thickBot="1" x14ac:dyDescent="0.25">
      <c r="E107" s="5">
        <f>SUM(E103:E106)</f>
        <v>1.85</v>
      </c>
    </row>
    <row r="108" spans="3:7" ht="13.5" thickTop="1" x14ac:dyDescent="0.2"/>
    <row r="109" spans="3:7" x14ac:dyDescent="0.2">
      <c r="C109" s="1" t="s">
        <v>52</v>
      </c>
      <c r="E109" s="2">
        <v>8</v>
      </c>
    </row>
    <row r="110" spans="3:7" x14ac:dyDescent="0.2">
      <c r="C110" s="1" t="s">
        <v>53</v>
      </c>
      <c r="E110" s="2">
        <f>E107</f>
        <v>1.85</v>
      </c>
      <c r="F110" s="2"/>
    </row>
    <row r="111" spans="3:7" x14ac:dyDescent="0.2">
      <c r="C111" s="7" t="s">
        <v>95</v>
      </c>
      <c r="E111" s="2">
        <f>E109-E110</f>
        <v>6.15</v>
      </c>
      <c r="F111" s="2"/>
    </row>
    <row r="112" spans="3:7" x14ac:dyDescent="0.2">
      <c r="E112" s="2"/>
      <c r="F112" s="2"/>
    </row>
    <row r="113" spans="1:7" x14ac:dyDescent="0.2">
      <c r="C113" s="1" t="s">
        <v>54</v>
      </c>
    </row>
    <row r="114" spans="1:7" x14ac:dyDescent="0.2">
      <c r="C114" s="1">
        <f>E100/E111</f>
        <v>2764.2276422764226</v>
      </c>
      <c r="D114" s="8" t="s">
        <v>66</v>
      </c>
      <c r="E114" s="8"/>
      <c r="F114" s="1" t="s">
        <v>55</v>
      </c>
    </row>
    <row r="115" spans="1:7" ht="13.5" thickBot="1" x14ac:dyDescent="0.25">
      <c r="E115" s="6"/>
    </row>
    <row r="117" spans="1:7" x14ac:dyDescent="0.2">
      <c r="C117" s="1" t="s">
        <v>56</v>
      </c>
    </row>
    <row r="118" spans="1:7" x14ac:dyDescent="0.2">
      <c r="C118" s="1" t="s">
        <v>57</v>
      </c>
    </row>
    <row r="121" spans="1:7" x14ac:dyDescent="0.2">
      <c r="A121" s="1" t="s">
        <v>77</v>
      </c>
    </row>
    <row r="122" spans="1:7" x14ac:dyDescent="0.2">
      <c r="D122" s="1" t="s">
        <v>79</v>
      </c>
      <c r="E122" s="1" t="s">
        <v>80</v>
      </c>
    </row>
    <row r="123" spans="1:7" x14ac:dyDescent="0.2">
      <c r="C123" s="1" t="s">
        <v>78</v>
      </c>
      <c r="D123" s="1">
        <v>4000</v>
      </c>
      <c r="E123" s="1">
        <v>5000</v>
      </c>
      <c r="G123" s="7"/>
    </row>
    <row r="124" spans="1:7" x14ac:dyDescent="0.2">
      <c r="C124" s="1" t="s">
        <v>81</v>
      </c>
      <c r="D124" s="1">
        <v>318000</v>
      </c>
      <c r="E124" s="1">
        <v>370000</v>
      </c>
    </row>
    <row r="127" spans="1:7" x14ac:dyDescent="0.2">
      <c r="C127" s="1" t="s">
        <v>82</v>
      </c>
      <c r="D127" s="1">
        <v>272000</v>
      </c>
      <c r="E127" s="1">
        <v>340000</v>
      </c>
    </row>
    <row r="130" spans="3:5" x14ac:dyDescent="0.2">
      <c r="C130" s="1" t="s">
        <v>83</v>
      </c>
      <c r="E130" s="1">
        <f>E124-D124</f>
        <v>52000</v>
      </c>
    </row>
    <row r="131" spans="3:5" x14ac:dyDescent="0.2">
      <c r="C131" s="1" t="s">
        <v>84</v>
      </c>
    </row>
    <row r="132" spans="3:5" x14ac:dyDescent="0.2">
      <c r="C132" s="1" t="s">
        <v>86</v>
      </c>
      <c r="E132" s="1">
        <f>E123-D123</f>
        <v>1000</v>
      </c>
    </row>
    <row r="134" spans="3:5" x14ac:dyDescent="0.2">
      <c r="C134" s="1" t="s">
        <v>85</v>
      </c>
      <c r="D134" s="1" t="s">
        <v>87</v>
      </c>
      <c r="E134" s="12">
        <f>E130/E132</f>
        <v>52</v>
      </c>
    </row>
    <row r="136" spans="3:5" x14ac:dyDescent="0.2">
      <c r="C136" s="7" t="s">
        <v>88</v>
      </c>
      <c r="E136" s="1">
        <f>E127/E123</f>
        <v>68</v>
      </c>
    </row>
    <row r="137" spans="3:5" x14ac:dyDescent="0.2">
      <c r="C137" s="13" t="s">
        <v>89</v>
      </c>
      <c r="E137" s="3">
        <f>E134</f>
        <v>52</v>
      </c>
    </row>
    <row r="138" spans="3:5" x14ac:dyDescent="0.2">
      <c r="C138" s="7" t="s">
        <v>61</v>
      </c>
      <c r="E138" s="1">
        <f>E136-E137</f>
        <v>16</v>
      </c>
    </row>
    <row r="140" spans="3:5" x14ac:dyDescent="0.2">
      <c r="C140" s="7" t="s">
        <v>90</v>
      </c>
      <c r="D140" s="1">
        <v>5000</v>
      </c>
      <c r="E140" s="1">
        <f>D140*E134</f>
        <v>260000</v>
      </c>
    </row>
    <row r="141" spans="3:5" x14ac:dyDescent="0.2">
      <c r="C141" s="14" t="s">
        <v>91</v>
      </c>
      <c r="D141" s="3"/>
      <c r="E141" s="3">
        <f>E124</f>
        <v>370000</v>
      </c>
    </row>
    <row r="142" spans="3:5" x14ac:dyDescent="0.2">
      <c r="C142" s="7" t="s">
        <v>92</v>
      </c>
      <c r="E142" s="1">
        <f>E141-E140</f>
        <v>110000</v>
      </c>
    </row>
    <row r="144" spans="3:5" x14ac:dyDescent="0.2">
      <c r="C144" s="7" t="s">
        <v>93</v>
      </c>
      <c r="D144" s="13" t="s">
        <v>94</v>
      </c>
      <c r="E144" s="1">
        <f>E142/E138</f>
        <v>6875</v>
      </c>
    </row>
  </sheetData>
  <phoneticPr fontId="0" type="noConversion"/>
  <pageMargins left="0.39370078740157483" right="0.39370078740157483" top="0.39370078740157483" bottom="0.39370078740157483" header="0.51181102362204722" footer="0.51181102362204722"/>
  <pageSetup paperSize="9" scale="6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honeticPr fontId="0" type="noConversion"/>
  <pageMargins left="0.75" right="0.75" top="1" bottom="1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honeticPr fontId="0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ERGEE Textilgruppe GmbH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ERGEE Textilgruppe GmbH</dc:creator>
  <cp:lastModifiedBy>Hinterholzer Stefan - Lehrbetrieb</cp:lastModifiedBy>
  <cp:lastPrinted>2008-06-17T07:12:01Z</cp:lastPrinted>
  <dcterms:created xsi:type="dcterms:W3CDTF">2008-05-10T11:00:05Z</dcterms:created>
  <dcterms:modified xsi:type="dcterms:W3CDTF">2015-04-27T14:46:00Z</dcterms:modified>
</cp:coreProperties>
</file>
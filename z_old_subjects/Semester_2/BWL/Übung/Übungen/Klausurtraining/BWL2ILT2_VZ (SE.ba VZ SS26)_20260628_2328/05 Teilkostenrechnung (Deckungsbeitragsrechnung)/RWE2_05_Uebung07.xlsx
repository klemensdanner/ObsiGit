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420" windowWidth="1560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1" i="1" l="1"/>
  <c r="D50" i="1" l="1"/>
  <c r="D54" i="1" s="1"/>
  <c r="A50" i="1"/>
  <c r="C46" i="1"/>
  <c r="C47" i="1" s="1"/>
  <c r="D35" i="1"/>
  <c r="B22" i="1"/>
  <c r="C27" i="1"/>
  <c r="A5" i="1"/>
  <c r="B23" i="1" s="1"/>
  <c r="C28" i="1" s="1"/>
  <c r="C14" i="1"/>
  <c r="C54" i="1" s="1"/>
  <c r="D14" i="1"/>
  <c r="D15" i="1" s="1"/>
  <c r="B14" i="1"/>
  <c r="B35" i="1" s="1"/>
  <c r="B15" i="1" l="1"/>
  <c r="C15" i="1"/>
  <c r="C35" i="1"/>
  <c r="B36" i="1" s="1"/>
  <c r="B55" i="1"/>
  <c r="C39" i="1" l="1"/>
  <c r="C40" i="1" s="1"/>
  <c r="C37" i="1"/>
  <c r="C56" i="1"/>
  <c r="C58" i="1"/>
  <c r="C59" i="1" s="1"/>
  <c r="C61" i="1"/>
  <c r="C62" i="1" s="1"/>
</calcChain>
</file>

<file path=xl/sharedStrings.xml><?xml version="1.0" encoding="utf-8"?>
<sst xmlns="http://schemas.openxmlformats.org/spreadsheetml/2006/main" count="52" uniqueCount="38">
  <si>
    <t>Produktionsprogrammoptimierung</t>
  </si>
  <si>
    <t>A1</t>
  </si>
  <si>
    <t>A2</t>
  </si>
  <si>
    <t>A3</t>
  </si>
  <si>
    <t>Erlös pro Stück</t>
  </si>
  <si>
    <t>var. Kosten pro Stück</t>
  </si>
  <si>
    <t>Max. absetzbare Mengen</t>
  </si>
  <si>
    <t>Min. absetzbare Menge</t>
  </si>
  <si>
    <t>verbrauchte Kap. In Minuten</t>
  </si>
  <si>
    <t>Fertigungszeit / Stück (in min)</t>
  </si>
  <si>
    <t>Verfügbare Kapazität in Min</t>
  </si>
  <si>
    <t>1.</t>
  </si>
  <si>
    <t>2.</t>
  </si>
  <si>
    <t>3.</t>
  </si>
  <si>
    <t>Pro Minute "bleibt bei A2 am meisten hängen" (zur Abdeckung der Fixkosten)</t>
  </si>
  <si>
    <t>Schritt 1</t>
  </si>
  <si>
    <t>verbrauchte Kap. in Minuten</t>
  </si>
  <si>
    <t>noch freie Kapazität</t>
  </si>
  <si>
    <t>Schritt 2</t>
  </si>
  <si>
    <t>Vertraglich fixierte Zusage (in Stück)</t>
  </si>
  <si>
    <t>noch freie Kapazitäten</t>
  </si>
  <si>
    <t>Schritt 3</t>
  </si>
  <si>
    <t>dann A3 (Priorität 2.) (in Stück)</t>
  </si>
  <si>
    <t>A2 ganz auslasten (Priorität 1.) (in Stück)</t>
  </si>
  <si>
    <t>Gesamter Deckungsbeitrag (DB)</t>
  </si>
  <si>
    <t>Deckungsbeitrag (DB)</t>
  </si>
  <si>
    <t>a) Mit der Berücksichtigung einer fixierten Lieferzusage</t>
  </si>
  <si>
    <t>b) ohne Berücksichtigung einer Lieferzusage</t>
  </si>
  <si>
    <t>Konventionalstrafe pro Monat kleiner als</t>
  </si>
  <si>
    <t>Konventionalstrafe pro Jahr kleiner als</t>
  </si>
  <si>
    <t>auf Jahr</t>
  </si>
  <si>
    <t>Priorität</t>
  </si>
  <si>
    <t>db pro Stück</t>
  </si>
  <si>
    <r>
      <t xml:space="preserve">db je Stück </t>
    </r>
    <r>
      <rPr>
        <b/>
        <sz val="11"/>
        <color rgb="FFFF0000"/>
        <rFont val="Calibri"/>
        <family val="2"/>
        <scheme val="minor"/>
      </rPr>
      <t>und Minute</t>
    </r>
  </si>
  <si>
    <t>Ergebnis pro Monat</t>
  </si>
  <si>
    <t>Ergebnis pro Jahr</t>
  </si>
  <si>
    <t>monatliche Fixkosten</t>
  </si>
  <si>
    <t>UE 07.7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</si>
</sst>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5" borderId="0" xfId="0" applyFill="1" applyBorder="1"/>
    <xf numFmtId="0" fontId="0" fillId="3" borderId="0" xfId="0" applyFill="1"/>
    <xf numFmtId="0" fontId="0" fillId="4" borderId="0" xfId="0" applyFill="1"/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4" fontId="1" fillId="6" borderId="0" xfId="0" applyNumberFormat="1" applyFont="1" applyFill="1" applyBorder="1" applyAlignment="1">
      <alignment horizontal="center"/>
    </xf>
    <xf numFmtId="4" fontId="0" fillId="0" borderId="0" xfId="0" applyNumberFormat="1"/>
    <xf numFmtId="4" fontId="1" fillId="0" borderId="0" xfId="0" applyNumberFormat="1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zoomScale="148" zoomScaleNormal="148" workbookViewId="0"/>
  </sheetViews>
  <sheetFormatPr defaultRowHeight="15" x14ac:dyDescent="0.25"/>
  <cols>
    <col min="1" max="1" width="36.5703125" customWidth="1"/>
    <col min="3" max="3" width="13.28515625" customWidth="1"/>
  </cols>
  <sheetData>
    <row r="1" spans="1:4" x14ac:dyDescent="0.25">
      <c r="A1" t="s">
        <v>37</v>
      </c>
      <c r="B1" t="s">
        <v>0</v>
      </c>
    </row>
    <row r="3" spans="1:4" x14ac:dyDescent="0.25">
      <c r="A3" t="s">
        <v>36</v>
      </c>
      <c r="B3">
        <v>200000</v>
      </c>
    </row>
    <row r="4" spans="1:4" x14ac:dyDescent="0.25">
      <c r="A4" t="s">
        <v>10</v>
      </c>
    </row>
    <row r="5" spans="1:4" x14ac:dyDescent="0.25">
      <c r="A5">
        <f>200*60</f>
        <v>12000</v>
      </c>
    </row>
    <row r="7" spans="1:4" x14ac:dyDescent="0.25">
      <c r="B7" t="s">
        <v>1</v>
      </c>
      <c r="C7" t="s">
        <v>2</v>
      </c>
      <c r="D7" t="s">
        <v>3</v>
      </c>
    </row>
    <row r="8" spans="1:4" x14ac:dyDescent="0.25">
      <c r="A8" t="s">
        <v>7</v>
      </c>
      <c r="B8">
        <v>120</v>
      </c>
    </row>
    <row r="9" spans="1:4" x14ac:dyDescent="0.25">
      <c r="A9" t="s">
        <v>6</v>
      </c>
      <c r="B9">
        <v>1500</v>
      </c>
      <c r="C9">
        <v>1800</v>
      </c>
      <c r="D9">
        <v>500</v>
      </c>
    </row>
    <row r="10" spans="1:4" x14ac:dyDescent="0.25">
      <c r="A10" t="s">
        <v>9</v>
      </c>
      <c r="B10">
        <v>20</v>
      </c>
      <c r="C10">
        <v>5</v>
      </c>
      <c r="D10">
        <v>15</v>
      </c>
    </row>
    <row r="12" spans="1:4" x14ac:dyDescent="0.25">
      <c r="A12" t="s">
        <v>4</v>
      </c>
      <c r="B12">
        <v>400</v>
      </c>
      <c r="C12">
        <v>350</v>
      </c>
      <c r="D12">
        <v>450</v>
      </c>
    </row>
    <row r="13" spans="1:4" x14ac:dyDescent="0.25">
      <c r="A13" s="1" t="s">
        <v>5</v>
      </c>
      <c r="B13" s="1">
        <v>200</v>
      </c>
      <c r="C13" s="1">
        <v>250</v>
      </c>
      <c r="D13" s="1">
        <v>285</v>
      </c>
    </row>
    <row r="14" spans="1:4" x14ac:dyDescent="0.25">
      <c r="A14" s="2" t="s">
        <v>32</v>
      </c>
      <c r="B14">
        <f>B12-B13</f>
        <v>200</v>
      </c>
      <c r="C14">
        <f t="shared" ref="C14:D14" si="0">C12-C13</f>
        <v>100</v>
      </c>
      <c r="D14">
        <f t="shared" si="0"/>
        <v>165</v>
      </c>
    </row>
    <row r="15" spans="1:4" x14ac:dyDescent="0.25">
      <c r="A15" s="2" t="s">
        <v>33</v>
      </c>
      <c r="B15">
        <f>B14/B10</f>
        <v>10</v>
      </c>
      <c r="C15">
        <f t="shared" ref="C15:D15" si="1">C14/C10</f>
        <v>20</v>
      </c>
      <c r="D15">
        <f t="shared" si="1"/>
        <v>11</v>
      </c>
    </row>
    <row r="16" spans="1:4" x14ac:dyDescent="0.25">
      <c r="A16" s="2" t="s">
        <v>31</v>
      </c>
      <c r="B16" s="6" t="s">
        <v>13</v>
      </c>
      <c r="C16" s="4" t="s">
        <v>11</v>
      </c>
      <c r="D16" s="5" t="s">
        <v>12</v>
      </c>
    </row>
    <row r="17" spans="1:4" s="7" customFormat="1" x14ac:dyDescent="0.25">
      <c r="A17" s="2" t="s">
        <v>14</v>
      </c>
      <c r="B17" s="3"/>
      <c r="C17" s="3"/>
      <c r="D17" s="3"/>
    </row>
    <row r="18" spans="1:4" s="7" customFormat="1" x14ac:dyDescent="0.25">
      <c r="A18" s="2"/>
      <c r="B18" s="3"/>
      <c r="C18" s="3"/>
      <c r="D18" s="3"/>
    </row>
    <row r="19" spans="1:4" x14ac:dyDescent="0.25">
      <c r="A19" s="2" t="s">
        <v>26</v>
      </c>
    </row>
    <row r="20" spans="1:4" x14ac:dyDescent="0.25">
      <c r="A20" s="10" t="s">
        <v>15</v>
      </c>
    </row>
    <row r="21" spans="1:4" x14ac:dyDescent="0.25">
      <c r="A21" s="2" t="s">
        <v>19</v>
      </c>
      <c r="B21" s="12">
        <v>120</v>
      </c>
    </row>
    <row r="22" spans="1:4" x14ac:dyDescent="0.25">
      <c r="A22" s="2" t="s">
        <v>8</v>
      </c>
      <c r="B22">
        <f>B21*B10</f>
        <v>2400</v>
      </c>
    </row>
    <row r="23" spans="1:4" x14ac:dyDescent="0.25">
      <c r="A23" s="2" t="s">
        <v>20</v>
      </c>
      <c r="B23">
        <f>A5-B22</f>
        <v>9600</v>
      </c>
    </row>
    <row r="24" spans="1:4" x14ac:dyDescent="0.25">
      <c r="A24" s="2"/>
    </row>
    <row r="25" spans="1:4" x14ac:dyDescent="0.25">
      <c r="A25" s="10" t="s">
        <v>18</v>
      </c>
    </row>
    <row r="26" spans="1:4" x14ac:dyDescent="0.25">
      <c r="A26" t="s">
        <v>23</v>
      </c>
      <c r="C26" s="8">
        <v>1800</v>
      </c>
    </row>
    <row r="27" spans="1:4" x14ac:dyDescent="0.25">
      <c r="A27" t="s">
        <v>16</v>
      </c>
      <c r="C27">
        <f>C26*C10</f>
        <v>9000</v>
      </c>
    </row>
    <row r="28" spans="1:4" x14ac:dyDescent="0.25">
      <c r="A28" t="s">
        <v>17</v>
      </c>
      <c r="C28" s="9">
        <f>B23-C27</f>
        <v>600</v>
      </c>
    </row>
    <row r="30" spans="1:4" x14ac:dyDescent="0.25">
      <c r="A30" s="10" t="s">
        <v>21</v>
      </c>
    </row>
    <row r="31" spans="1:4" x14ac:dyDescent="0.25">
      <c r="A31" t="s">
        <v>22</v>
      </c>
      <c r="D31" s="11">
        <f>C28/D10</f>
        <v>40</v>
      </c>
    </row>
    <row r="32" spans="1:4" x14ac:dyDescent="0.25">
      <c r="A32" t="s">
        <v>8</v>
      </c>
      <c r="D32">
        <v>600</v>
      </c>
    </row>
    <row r="33" spans="1:4" x14ac:dyDescent="0.25">
      <c r="A33" t="s">
        <v>17</v>
      </c>
      <c r="D33">
        <v>0</v>
      </c>
    </row>
    <row r="35" spans="1:4" x14ac:dyDescent="0.25">
      <c r="A35" t="s">
        <v>25</v>
      </c>
      <c r="B35">
        <f>B21*B14</f>
        <v>24000</v>
      </c>
      <c r="C35">
        <f>C26*C14</f>
        <v>180000</v>
      </c>
      <c r="D35">
        <f>D31*D14</f>
        <v>6600</v>
      </c>
    </row>
    <row r="36" spans="1:4" x14ac:dyDescent="0.25">
      <c r="A36" s="1" t="s">
        <v>24</v>
      </c>
      <c r="B36" s="18">
        <f>SUM(B35:D35)</f>
        <v>210600</v>
      </c>
      <c r="C36" s="18"/>
      <c r="D36" s="18"/>
    </row>
    <row r="37" spans="1:4" x14ac:dyDescent="0.25">
      <c r="A37" s="2" t="s">
        <v>30</v>
      </c>
      <c r="B37" s="17"/>
      <c r="C37" s="17">
        <f>B36*12</f>
        <v>2527200</v>
      </c>
      <c r="D37" s="17"/>
    </row>
    <row r="38" spans="1:4" x14ac:dyDescent="0.25">
      <c r="A38" s="2"/>
      <c r="B38" s="17"/>
      <c r="C38" s="17"/>
      <c r="D38" s="17"/>
    </row>
    <row r="39" spans="1:4" x14ac:dyDescent="0.25">
      <c r="A39" s="2" t="s">
        <v>34</v>
      </c>
      <c r="B39" s="17"/>
      <c r="C39" s="15">
        <f>B36-$B$3</f>
        <v>10600</v>
      </c>
      <c r="D39" s="17"/>
    </row>
    <row r="40" spans="1:4" x14ac:dyDescent="0.25">
      <c r="A40" s="2" t="s">
        <v>35</v>
      </c>
      <c r="B40" s="17"/>
      <c r="C40" s="17">
        <f>C39*12</f>
        <v>127200</v>
      </c>
      <c r="D40" s="17"/>
    </row>
    <row r="42" spans="1:4" x14ac:dyDescent="0.25">
      <c r="A42" t="s">
        <v>27</v>
      </c>
    </row>
    <row r="44" spans="1:4" x14ac:dyDescent="0.25">
      <c r="A44" s="10" t="s">
        <v>15</v>
      </c>
    </row>
    <row r="45" spans="1:4" x14ac:dyDescent="0.25">
      <c r="A45" t="s">
        <v>23</v>
      </c>
      <c r="C45" s="8">
        <v>1800</v>
      </c>
    </row>
    <row r="46" spans="1:4" x14ac:dyDescent="0.25">
      <c r="A46" t="s">
        <v>16</v>
      </c>
      <c r="C46">
        <f>C45*C10</f>
        <v>9000</v>
      </c>
    </row>
    <row r="47" spans="1:4" x14ac:dyDescent="0.25">
      <c r="A47" t="s">
        <v>17</v>
      </c>
      <c r="C47" s="9">
        <f>A5-C46</f>
        <v>3000</v>
      </c>
    </row>
    <row r="49" spans="1:4" x14ac:dyDescent="0.25">
      <c r="A49" s="10" t="s">
        <v>18</v>
      </c>
    </row>
    <row r="50" spans="1:4" x14ac:dyDescent="0.25">
      <c r="A50" t="str">
        <f>A31</f>
        <v>dann A3 (Priorität 2.) (in Stück)</v>
      </c>
      <c r="D50" s="11">
        <f>D52/D10</f>
        <v>200</v>
      </c>
    </row>
    <row r="51" spans="1:4" x14ac:dyDescent="0.25">
      <c r="A51" t="s">
        <v>8</v>
      </c>
      <c r="D51">
        <v>3000</v>
      </c>
    </row>
    <row r="52" spans="1:4" x14ac:dyDescent="0.25">
      <c r="A52" t="s">
        <v>17</v>
      </c>
      <c r="D52">
        <v>3000</v>
      </c>
    </row>
    <row r="54" spans="1:4" x14ac:dyDescent="0.25">
      <c r="A54" t="s">
        <v>25</v>
      </c>
      <c r="C54">
        <f>C45*C14</f>
        <v>180000</v>
      </c>
      <c r="D54">
        <f>D50*D14</f>
        <v>33000</v>
      </c>
    </row>
    <row r="55" spans="1:4" x14ac:dyDescent="0.25">
      <c r="A55" s="1" t="s">
        <v>24</v>
      </c>
      <c r="B55" s="18">
        <f>SUM(C54:D54)</f>
        <v>213000</v>
      </c>
      <c r="C55" s="18"/>
      <c r="D55" s="18"/>
    </row>
    <row r="56" spans="1:4" x14ac:dyDescent="0.25">
      <c r="A56" s="2" t="s">
        <v>30</v>
      </c>
      <c r="B56" s="17"/>
      <c r="C56" s="17">
        <f>B55*12</f>
        <v>2556000</v>
      </c>
      <c r="D56" s="17"/>
    </row>
    <row r="57" spans="1:4" x14ac:dyDescent="0.25">
      <c r="A57" s="2"/>
      <c r="B57" s="17"/>
      <c r="C57" s="17"/>
      <c r="D57" s="17"/>
    </row>
    <row r="58" spans="1:4" x14ac:dyDescent="0.25">
      <c r="A58" s="2" t="s">
        <v>34</v>
      </c>
      <c r="B58" s="17"/>
      <c r="C58" s="15">
        <f>B55-B3</f>
        <v>13000</v>
      </c>
      <c r="D58" s="17"/>
    </row>
    <row r="59" spans="1:4" x14ac:dyDescent="0.25">
      <c r="A59" s="2" t="s">
        <v>35</v>
      </c>
      <c r="B59" s="17"/>
      <c r="C59" s="17">
        <f>C58*12</f>
        <v>156000</v>
      </c>
      <c r="D59" s="17"/>
    </row>
    <row r="60" spans="1:4" x14ac:dyDescent="0.25">
      <c r="A60" s="13"/>
      <c r="B60" s="14"/>
      <c r="C60" s="14"/>
      <c r="D60" s="14"/>
    </row>
    <row r="61" spans="1:4" x14ac:dyDescent="0.25">
      <c r="A61" s="2" t="s">
        <v>28</v>
      </c>
      <c r="C61" s="16">
        <f>B55-B36</f>
        <v>2400</v>
      </c>
    </row>
    <row r="62" spans="1:4" x14ac:dyDescent="0.25">
      <c r="A62" s="2" t="s">
        <v>29</v>
      </c>
      <c r="C62" s="16">
        <f>C61*12</f>
        <v>28800</v>
      </c>
    </row>
  </sheetData>
  <mergeCells count="2">
    <mergeCell ref="B36:D36"/>
    <mergeCell ref="B55:D55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Hinterholzer Stefan</cp:lastModifiedBy>
  <cp:lastPrinted>2014-04-24T12:33:57Z</cp:lastPrinted>
  <dcterms:created xsi:type="dcterms:W3CDTF">2010-06-02T10:11:40Z</dcterms:created>
  <dcterms:modified xsi:type="dcterms:W3CDTF">2015-04-07T09:25:04Z</dcterms:modified>
</cp:coreProperties>
</file>
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3_Kostenstellenrechnung/"/>
    </mc:Choice>
  </mc:AlternateContent>
  <xr:revisionPtr revIDLastSave="8" documentId="8_{03F246F4-0956-46EF-9F9C-ECA68638BFE9}" xr6:coauthVersionLast="47" xr6:coauthVersionMax="47" xr10:uidLastSave="{157A4E7D-3D00-47E1-ACCF-9EA2F028AE13}"/>
  <bookViews>
    <workbookView xWindow="-289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E14" i="1"/>
  <c r="E8" i="1" l="1"/>
  <c r="D7" i="1"/>
  <c r="C18" i="1"/>
  <c r="D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</author>
  </authors>
  <commentList>
    <comment ref="F1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  <comment ref="G1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</commentList>
</comments>
</file>

<file path=xl/sharedStrings.xml><?xml version="1.0" encoding="utf-8"?>
<sst xmlns="http://schemas.openxmlformats.org/spreadsheetml/2006/main" count="55" uniqueCount="44">
  <si>
    <t>Kostenart</t>
  </si>
  <si>
    <t>Betrag</t>
  </si>
  <si>
    <t>Kostenstellen</t>
  </si>
  <si>
    <t>Material</t>
  </si>
  <si>
    <t>Fertigung</t>
  </si>
  <si>
    <t>Verwaltung</t>
  </si>
  <si>
    <t>Vertrieb</t>
  </si>
  <si>
    <t>1.Fertigungsmaterial</t>
  </si>
  <si>
    <t>2.Fertigungslöhne</t>
  </si>
  <si>
    <t>3.Hilfsmaterial</t>
  </si>
  <si>
    <t>4.Hilfslöhne</t>
  </si>
  <si>
    <t>5.Gehälter</t>
  </si>
  <si>
    <t>6.Lohnnebenkosten FL</t>
  </si>
  <si>
    <t>7.Lohnnebenkosten HL</t>
  </si>
  <si>
    <t>8.Gehaltsnebenkosten</t>
  </si>
  <si>
    <t>9.Div. Kosten</t>
  </si>
  <si>
    <t>10.Kalk. Zinsen</t>
  </si>
  <si>
    <t>11.Kalk. Abschreibung</t>
  </si>
  <si>
    <t>Gemeinkostensummen</t>
  </si>
  <si>
    <t>Zuschlagsbasen</t>
  </si>
  <si>
    <t>GK-Zuschlagssätze</t>
  </si>
  <si>
    <t>Selbstkosten</t>
  </si>
  <si>
    <t>Bezeichnung</t>
  </si>
  <si>
    <t>%</t>
  </si>
  <si>
    <t>€ in Tausend</t>
  </si>
  <si>
    <t>Zusatzauftrag:</t>
  </si>
  <si>
    <t>Löhne</t>
  </si>
  <si>
    <t>Einzelkosten</t>
  </si>
  <si>
    <t>Gemeinkosten</t>
  </si>
  <si>
    <t>Kostenträgerrechnung</t>
  </si>
  <si>
    <t>Herstellkosten (Summe)</t>
  </si>
  <si>
    <t>Materialeinzelkosten</t>
  </si>
  <si>
    <t>Fertigungslöhne</t>
  </si>
  <si>
    <t>+ Gewinn</t>
  </si>
  <si>
    <t>Nettoverkaufspreis</t>
  </si>
  <si>
    <t>als Basis die Herstellkosten verwenden !</t>
  </si>
  <si>
    <t>Betriebsabrechnungsbogen (BAB)</t>
  </si>
  <si>
    <t>Kostenstellenrechnung (Wo sind die Kosten angefallen ?)</t>
  </si>
  <si>
    <r>
      <t xml:space="preserve">Kalkulation oder Kostenträgerrechnung (Wieviel kostet </t>
    </r>
    <r>
      <rPr>
        <b/>
        <sz val="10"/>
        <rFont val="Arial"/>
        <family val="2"/>
      </rPr>
      <t>uns</t>
    </r>
    <r>
      <rPr>
        <sz val="10"/>
        <rFont val="Arial"/>
        <family val="2"/>
      </rPr>
      <t xml:space="preserve"> eine Leistung die wir anbieten wollen)</t>
    </r>
  </si>
  <si>
    <t xml:space="preserve">BWL2T2_UE03a </t>
  </si>
  <si>
    <t>+ Materialgemeinkosten</t>
  </si>
  <si>
    <t>+ Fertigungsgemeinkosten</t>
  </si>
  <si>
    <t>+ VerwaltungsGK</t>
  </si>
  <si>
    <t>+ VertriebsGK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</si>
</sst>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2" tint="-0.74999237037263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C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/>
    </xf>
    <xf numFmtId="10" fontId="6" fillId="0" borderId="0" xfId="1" applyNumberFormat="1" applyFont="1" applyBorder="1"/>
    <xf numFmtId="10" fontId="6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/>
    <xf numFmtId="0" fontId="10" fillId="0" borderId="19" xfId="0" applyFont="1" applyBorder="1"/>
    <xf numFmtId="0" fontId="1" fillId="0" borderId="0" xfId="0" applyFont="1"/>
    <xf numFmtId="0" fontId="10" fillId="2" borderId="21" xfId="0" applyFont="1" applyFill="1" applyBorder="1"/>
    <xf numFmtId="0" fontId="5" fillId="0" borderId="0" xfId="0" quotePrefix="1" applyFont="1"/>
    <xf numFmtId="0" fontId="10" fillId="3" borderId="23" xfId="0" applyFont="1" applyFill="1" applyBorder="1"/>
    <xf numFmtId="0" fontId="5" fillId="0" borderId="24" xfId="0" applyFont="1" applyBorder="1"/>
    <xf numFmtId="0" fontId="5" fillId="0" borderId="29" xfId="0" applyFont="1" applyBorder="1"/>
    <xf numFmtId="0" fontId="5" fillId="0" borderId="8" xfId="0" applyFont="1" applyBorder="1"/>
    <xf numFmtId="10" fontId="5" fillId="0" borderId="0" xfId="1" applyNumberFormat="1" applyFont="1" applyBorder="1"/>
    <xf numFmtId="0" fontId="5" fillId="0" borderId="41" xfId="0" applyFont="1" applyBorder="1"/>
    <xf numFmtId="0" fontId="5" fillId="0" borderId="0" xfId="0" applyFont="1"/>
    <xf numFmtId="0" fontId="5" fillId="4" borderId="0" xfId="0" applyFont="1" applyFill="1"/>
    <xf numFmtId="1" fontId="1" fillId="0" borderId="30" xfId="0" applyNumberFormat="1" applyFont="1" applyBorder="1"/>
    <xf numFmtId="1" fontId="1" fillId="0" borderId="31" xfId="0" applyNumberFormat="1" applyFont="1" applyBorder="1"/>
    <xf numFmtId="0" fontId="11" fillId="0" borderId="0" xfId="0" applyFont="1"/>
    <xf numFmtId="0" fontId="1" fillId="0" borderId="28" xfId="0" applyFont="1" applyBorder="1"/>
    <xf numFmtId="0" fontId="1" fillId="0" borderId="12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4" xfId="0" applyFont="1" applyBorder="1"/>
    <xf numFmtId="0" fontId="11" fillId="0" borderId="12" xfId="0" applyFont="1" applyBorder="1"/>
    <xf numFmtId="0" fontId="11" fillId="0" borderId="13" xfId="0" applyFont="1" applyBorder="1"/>
    <xf numFmtId="0" fontId="12" fillId="0" borderId="0" xfId="0" applyFont="1"/>
    <xf numFmtId="0" fontId="2" fillId="5" borderId="0" xfId="0" applyFont="1" applyFill="1"/>
    <xf numFmtId="1" fontId="1" fillId="0" borderId="32" xfId="0" applyNumberFormat="1" applyFont="1" applyBorder="1"/>
    <xf numFmtId="1" fontId="1" fillId="0" borderId="14" xfId="0" applyNumberFormat="1" applyFont="1" applyBorder="1"/>
    <xf numFmtId="1" fontId="1" fillId="0" borderId="12" xfId="0" applyNumberFormat="1" applyFont="1" applyBorder="1"/>
    <xf numFmtId="1" fontId="1" fillId="0" borderId="13" xfId="0" applyNumberFormat="1" applyFont="1" applyBorder="1"/>
    <xf numFmtId="0" fontId="13" fillId="6" borderId="0" xfId="0" applyFont="1" applyFill="1"/>
    <xf numFmtId="0" fontId="13" fillId="0" borderId="40" xfId="0" applyFont="1" applyBorder="1"/>
    <xf numFmtId="1" fontId="11" fillId="0" borderId="42" xfId="0" applyNumberFormat="1" applyFont="1" applyBorder="1"/>
    <xf numFmtId="0" fontId="13" fillId="0" borderId="8" xfId="0" applyFont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0" borderId="21" xfId="0" quotePrefix="1" applyFont="1" applyBorder="1"/>
    <xf numFmtId="0" fontId="1" fillId="0" borderId="22" xfId="0" quotePrefix="1" applyFont="1" applyBorder="1"/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2" fontId="1" fillId="0" borderId="33" xfId="1" applyNumberFormat="1" applyFont="1" applyFill="1" applyBorder="1"/>
    <xf numFmtId="0" fontId="1" fillId="0" borderId="8" xfId="0" applyFont="1" applyBorder="1"/>
    <xf numFmtId="10" fontId="1" fillId="0" borderId="9" xfId="0" applyNumberFormat="1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7" xfId="0" applyFont="1" applyBorder="1"/>
    <xf numFmtId="0" fontId="2" fillId="0" borderId="35" xfId="0" applyFont="1" applyBorder="1"/>
    <xf numFmtId="0" fontId="2" fillId="0" borderId="39" xfId="0" applyFont="1" applyBorder="1"/>
    <xf numFmtId="0" fontId="1" fillId="7" borderId="15" xfId="0" applyFont="1" applyFill="1" applyBorder="1"/>
    <xf numFmtId="0" fontId="1" fillId="0" borderId="0" xfId="1" applyNumberFormat="1" applyFont="1" applyBorder="1"/>
    <xf numFmtId="0" fontId="1" fillId="7" borderId="0" xfId="0" applyFont="1" applyFill="1"/>
    <xf numFmtId="0" fontId="1" fillId="0" borderId="36" xfId="1" applyNumberFormat="1" applyFont="1" applyBorder="1"/>
    <xf numFmtId="0" fontId="1" fillId="0" borderId="38" xfId="0" applyFont="1" applyBorder="1"/>
    <xf numFmtId="0" fontId="1" fillId="7" borderId="16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88948</xdr:colOff>
      <xdr:row>25</xdr:row>
      <xdr:rowOff>40358</xdr:rowOff>
    </xdr:from>
    <xdr:to>
      <xdr:col>0</xdr:col>
      <xdr:colOff>371314</xdr:colOff>
      <xdr:row>26</xdr:row>
      <xdr:rowOff>102054</xdr:rowOff>
    </xdr:to>
    <xdr:sp macro="" textlink="">
      <xdr:nvSpPr>
        <xdr:cNvPr id="2" name="Arrow: Curved Down 1">
          <a:extLst>
            <a:ext uri="{FF2B5EF4-FFF2-40B4-BE49-F238E27FC236}">
              <a16:creationId xmlns:a16="http://schemas.microsoft.com/office/drawing/2014/main" id="{1427D224-3BAC-A285-370B-90A54D7E73F8}"/>
            </a:ext>
          </a:extLst>
        </xdr:cNvPr>
        <xdr:cNvSpPr/>
      </xdr:nvSpPr>
      <xdr:spPr>
        <a:xfrm rot="16200000">
          <a:off x="118562" y="4095193"/>
          <a:ext cx="223137" cy="282366"/>
        </a:xfrm>
        <a:prstGeom prst="curvedDownArrow">
          <a:avLst/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79909</xdr:colOff>
      <xdr:row>27</xdr:row>
      <xdr:rowOff>31316</xdr:rowOff>
    </xdr:from>
    <xdr:to>
      <xdr:col>0</xdr:col>
      <xdr:colOff>362275</xdr:colOff>
      <xdr:row>28</xdr:row>
      <xdr:rowOff>93013</xdr:rowOff>
    </xdr:to>
    <xdr:sp macro="" textlink="">
      <xdr:nvSpPr>
        <xdr:cNvPr id="3" name="Arrow: Curved Down 2">
          <a:extLst>
            <a:ext uri="{FF2B5EF4-FFF2-40B4-BE49-F238E27FC236}">
              <a16:creationId xmlns:a16="http://schemas.microsoft.com/office/drawing/2014/main" id="{E0878EBD-EDED-DE8D-384B-BBC1FD2E50F0}"/>
            </a:ext>
          </a:extLst>
        </xdr:cNvPr>
        <xdr:cNvSpPr/>
      </xdr:nvSpPr>
      <xdr:spPr>
        <a:xfrm rot="16200000">
          <a:off x="109523" y="4409033"/>
          <a:ext cx="223137" cy="282366"/>
        </a:xfrm>
        <a:prstGeom prst="curvedDownArrow">
          <a:avLst/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103159</xdr:colOff>
      <xdr:row>29</xdr:row>
      <xdr:rowOff>46491</xdr:rowOff>
    </xdr:from>
    <xdr:to>
      <xdr:col>0</xdr:col>
      <xdr:colOff>385525</xdr:colOff>
      <xdr:row>30</xdr:row>
      <xdr:rowOff>108187</xdr:rowOff>
    </xdr:to>
    <xdr:sp macro="" textlink="">
      <xdr:nvSpPr>
        <xdr:cNvPr id="4" name="Arrow: Curved Down 3">
          <a:extLst>
            <a:ext uri="{FF2B5EF4-FFF2-40B4-BE49-F238E27FC236}">
              <a16:creationId xmlns:a16="http://schemas.microsoft.com/office/drawing/2014/main" id="{360A851E-FCA5-9DAD-4C88-185A208F6786}"/>
            </a:ext>
          </a:extLst>
        </xdr:cNvPr>
        <xdr:cNvSpPr/>
      </xdr:nvSpPr>
      <xdr:spPr>
        <a:xfrm rot="16200000">
          <a:off x="132773" y="4747089"/>
          <a:ext cx="223137" cy="282366"/>
        </a:xfrm>
        <a:prstGeom prst="curvedDownArrow">
          <a:avLst/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53762</xdr:colOff>
      <xdr:row>29</xdr:row>
      <xdr:rowOff>24216</xdr:rowOff>
    </xdr:from>
    <xdr:to>
      <xdr:col>0</xdr:col>
      <xdr:colOff>336128</xdr:colOff>
      <xdr:row>31</xdr:row>
      <xdr:rowOff>147579</xdr:rowOff>
    </xdr:to>
    <xdr:sp macro="" textlink="">
      <xdr:nvSpPr>
        <xdr:cNvPr id="5" name="Arrow: Curved Down 4">
          <a:extLst>
            <a:ext uri="{FF2B5EF4-FFF2-40B4-BE49-F238E27FC236}">
              <a16:creationId xmlns:a16="http://schemas.microsoft.com/office/drawing/2014/main" id="{D6881EC0-DD82-3E22-AA9E-B5D5F9242A90}"/>
            </a:ext>
          </a:extLst>
        </xdr:cNvPr>
        <xdr:cNvSpPr/>
      </xdr:nvSpPr>
      <xdr:spPr>
        <a:xfrm rot="16200000">
          <a:off x="-28177" y="4836367"/>
          <a:ext cx="446244" cy="282366"/>
        </a:xfrm>
        <a:prstGeom prst="curvedDownArrow">
          <a:avLst>
            <a:gd name="adj1" fmla="val 25000"/>
            <a:gd name="adj2" fmla="val 50000"/>
            <a:gd name="adj3" fmla="val 4989"/>
          </a:avLst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118" zoomScaleNormal="118" workbookViewId="0">
      <selection activeCell="K25" sqref="K25"/>
    </sheetView>
  </sheetViews>
  <sheetFormatPr defaultColWidth="11.42578125" defaultRowHeight="12.75" x14ac:dyDescent="0.2"/>
  <cols>
    <col min="1" max="1" width="6.85546875" customWidth="1"/>
    <col min="2" max="2" width="23.85546875" customWidth="1"/>
    <col min="3" max="3" width="8.42578125" bestFit="1" customWidth="1"/>
    <col min="4" max="4" width="12.5703125" bestFit="1" customWidth="1"/>
    <col min="8" max="8" width="14.28515625" customWidth="1"/>
    <col min="9" max="9" width="13.85546875" bestFit="1" customWidth="1"/>
  </cols>
  <sheetData>
    <row r="1" spans="2:10" x14ac:dyDescent="0.2">
      <c r="B1" s="42" t="s">
        <v>39</v>
      </c>
      <c r="C1" s="42" t="s">
        <v>36</v>
      </c>
      <c r="D1" s="42"/>
      <c r="E1" s="42"/>
    </row>
    <row r="3" spans="2:10" x14ac:dyDescent="0.2">
      <c r="B3" s="20" t="s">
        <v>37</v>
      </c>
    </row>
    <row r="4" spans="2:10" ht="13.5" thickBot="1" x14ac:dyDescent="0.25"/>
    <row r="5" spans="2:10" x14ac:dyDescent="0.2">
      <c r="B5" s="55" t="s">
        <v>0</v>
      </c>
      <c r="C5" s="55" t="s">
        <v>1</v>
      </c>
      <c r="D5" s="57" t="s">
        <v>2</v>
      </c>
      <c r="E5" s="58"/>
      <c r="F5" s="58"/>
      <c r="G5" s="59"/>
      <c r="H5" s="41"/>
      <c r="I5" s="41"/>
      <c r="J5" s="8"/>
    </row>
    <row r="6" spans="2:10" ht="13.5" thickBot="1" x14ac:dyDescent="0.25">
      <c r="B6" s="56"/>
      <c r="C6" s="56"/>
      <c r="D6" s="1" t="s">
        <v>3</v>
      </c>
      <c r="E6" s="2" t="s">
        <v>4</v>
      </c>
      <c r="F6" s="2" t="s">
        <v>5</v>
      </c>
      <c r="G6" s="3" t="s">
        <v>6</v>
      </c>
    </row>
    <row r="7" spans="2:10" x14ac:dyDescent="0.2">
      <c r="B7" s="4" t="s">
        <v>7</v>
      </c>
      <c r="C7" s="24">
        <v>632</v>
      </c>
      <c r="D7" s="34">
        <f>C7</f>
        <v>632</v>
      </c>
      <c r="E7" s="36"/>
      <c r="F7" s="36"/>
      <c r="G7" s="37"/>
      <c r="H7" t="s">
        <v>27</v>
      </c>
      <c r="I7" s="8"/>
      <c r="J7" s="9"/>
    </row>
    <row r="8" spans="2:10" ht="13.5" thickBot="1" x14ac:dyDescent="0.25">
      <c r="B8" s="5" t="s">
        <v>8</v>
      </c>
      <c r="C8" s="25">
        <v>720</v>
      </c>
      <c r="D8" s="38"/>
      <c r="E8" s="35">
        <f>C8</f>
        <v>720</v>
      </c>
      <c r="F8" s="39"/>
      <c r="G8" s="40"/>
      <c r="H8" t="s">
        <v>27</v>
      </c>
      <c r="J8" s="10"/>
    </row>
    <row r="9" spans="2:10" x14ac:dyDescent="0.2">
      <c r="B9" s="6" t="s">
        <v>9</v>
      </c>
      <c r="C9" s="26">
        <v>98</v>
      </c>
      <c r="D9" s="31">
        <v>22</v>
      </c>
      <c r="E9" s="32">
        <v>76</v>
      </c>
      <c r="F9" s="32"/>
      <c r="G9" s="43"/>
      <c r="H9" s="47" t="s">
        <v>28</v>
      </c>
      <c r="J9" s="10"/>
    </row>
    <row r="10" spans="2:10" x14ac:dyDescent="0.2">
      <c r="B10" s="7" t="s">
        <v>10</v>
      </c>
      <c r="C10" s="26">
        <v>216</v>
      </c>
      <c r="D10" s="31">
        <v>17</v>
      </c>
      <c r="E10" s="32">
        <v>183</v>
      </c>
      <c r="F10" s="32"/>
      <c r="G10" s="43">
        <v>16</v>
      </c>
      <c r="H10" s="47" t="s">
        <v>28</v>
      </c>
      <c r="I10" s="8"/>
      <c r="J10" s="9"/>
    </row>
    <row r="11" spans="2:10" x14ac:dyDescent="0.2">
      <c r="B11" s="7" t="s">
        <v>11</v>
      </c>
      <c r="C11" s="26">
        <v>580</v>
      </c>
      <c r="D11" s="31"/>
      <c r="E11" s="32">
        <v>30</v>
      </c>
      <c r="F11" s="32">
        <v>425</v>
      </c>
      <c r="G11" s="43">
        <v>125</v>
      </c>
      <c r="H11" s="47" t="s">
        <v>28</v>
      </c>
    </row>
    <row r="12" spans="2:10" x14ac:dyDescent="0.2">
      <c r="B12" s="7" t="s">
        <v>12</v>
      </c>
      <c r="C12" s="26">
        <v>734</v>
      </c>
      <c r="D12" s="31"/>
      <c r="E12" s="32">
        <v>734</v>
      </c>
      <c r="F12" s="32"/>
      <c r="G12" s="43"/>
      <c r="H12" s="47" t="s">
        <v>28</v>
      </c>
    </row>
    <row r="13" spans="2:10" x14ac:dyDescent="0.2">
      <c r="B13" s="7" t="s">
        <v>13</v>
      </c>
      <c r="C13" s="26">
        <v>112</v>
      </c>
      <c r="D13" s="31">
        <v>9</v>
      </c>
      <c r="E13" s="31">
        <v>95</v>
      </c>
      <c r="F13" s="32"/>
      <c r="G13" s="43">
        <v>8</v>
      </c>
      <c r="H13" s="47" t="s">
        <v>28</v>
      </c>
    </row>
    <row r="14" spans="2:10" x14ac:dyDescent="0.2">
      <c r="B14" s="7" t="s">
        <v>14</v>
      </c>
      <c r="C14" s="26">
        <v>336</v>
      </c>
      <c r="D14" s="31"/>
      <c r="E14" s="32">
        <f>E11*0.58</f>
        <v>17.399999999999999</v>
      </c>
      <c r="F14" s="32">
        <f t="shared" ref="F14:G14" si="0">F11*0.58</f>
        <v>246.49999999999997</v>
      </c>
      <c r="G14" s="32">
        <f t="shared" si="0"/>
        <v>72.5</v>
      </c>
      <c r="H14" s="47" t="s">
        <v>28</v>
      </c>
    </row>
    <row r="15" spans="2:10" x14ac:dyDescent="0.2">
      <c r="B15" s="7" t="s">
        <v>15</v>
      </c>
      <c r="C15" s="26">
        <v>1320</v>
      </c>
      <c r="D15" s="31">
        <v>33</v>
      </c>
      <c r="E15" s="31">
        <v>381</v>
      </c>
      <c r="F15" s="31">
        <v>486</v>
      </c>
      <c r="G15" s="43">
        <v>420</v>
      </c>
      <c r="H15" s="47" t="s">
        <v>28</v>
      </c>
    </row>
    <row r="16" spans="2:10" x14ac:dyDescent="0.2">
      <c r="B16" s="7" t="s">
        <v>16</v>
      </c>
      <c r="C16" s="26">
        <v>830</v>
      </c>
      <c r="D16" s="31">
        <v>158</v>
      </c>
      <c r="E16" s="31">
        <v>563</v>
      </c>
      <c r="F16" s="31">
        <v>97</v>
      </c>
      <c r="G16" s="43">
        <v>12</v>
      </c>
      <c r="H16" s="47" t="s">
        <v>28</v>
      </c>
      <c r="J16" s="10"/>
    </row>
    <row r="17" spans="1:10" x14ac:dyDescent="0.2">
      <c r="B17" s="7" t="s">
        <v>17</v>
      </c>
      <c r="C17" s="25">
        <v>563</v>
      </c>
      <c r="D17" s="44">
        <v>49</v>
      </c>
      <c r="E17" s="45">
        <v>363</v>
      </c>
      <c r="F17" s="45">
        <v>114</v>
      </c>
      <c r="G17" s="46">
        <v>37</v>
      </c>
      <c r="H17" s="47" t="s">
        <v>28</v>
      </c>
    </row>
    <row r="18" spans="1:10" x14ac:dyDescent="0.2">
      <c r="B18" s="7" t="s">
        <v>18</v>
      </c>
      <c r="C18" s="50">
        <f>SUM(C9:C17)</f>
        <v>4789</v>
      </c>
      <c r="D18" s="31"/>
      <c r="E18" s="32"/>
      <c r="F18" s="32"/>
      <c r="G18" s="43"/>
    </row>
    <row r="19" spans="1:10" x14ac:dyDescent="0.2">
      <c r="B19" s="7" t="s">
        <v>19</v>
      </c>
      <c r="C19" s="61"/>
      <c r="D19" s="31"/>
      <c r="E19" s="32"/>
      <c r="F19" s="32"/>
      <c r="G19" s="32"/>
    </row>
    <row r="20" spans="1:10" ht="13.5" thickBot="1" x14ac:dyDescent="0.25">
      <c r="B20" s="5" t="s">
        <v>20</v>
      </c>
      <c r="C20" s="62"/>
      <c r="D20" s="60"/>
      <c r="E20" s="60"/>
      <c r="F20" s="60"/>
      <c r="G20" s="60"/>
    </row>
    <row r="21" spans="1:10" x14ac:dyDescent="0.2">
      <c r="B21" s="12"/>
      <c r="C21" s="14"/>
      <c r="D21" s="13"/>
      <c r="E21" s="13"/>
      <c r="F21" s="13"/>
      <c r="G21" s="13"/>
    </row>
    <row r="22" spans="1:10" x14ac:dyDescent="0.2">
      <c r="A22" s="15"/>
      <c r="B22" s="16" t="s">
        <v>29</v>
      </c>
      <c r="C22" s="14"/>
      <c r="D22" s="13"/>
      <c r="E22" s="13"/>
      <c r="F22" s="27"/>
      <c r="G22" s="27"/>
      <c r="H22" s="28"/>
      <c r="I22" s="29"/>
      <c r="J22" s="29"/>
    </row>
    <row r="23" spans="1:10" x14ac:dyDescent="0.2">
      <c r="A23" s="15"/>
      <c r="B23" s="20" t="s">
        <v>38</v>
      </c>
      <c r="C23" s="15"/>
      <c r="D23" s="15"/>
      <c r="F23" s="29"/>
      <c r="G23" s="29"/>
      <c r="H23" s="29"/>
      <c r="I23" s="29"/>
      <c r="J23" s="29"/>
    </row>
    <row r="24" spans="1:10" ht="13.5" thickBot="1" x14ac:dyDescent="0.25">
      <c r="A24" s="15"/>
      <c r="B24" s="20"/>
      <c r="C24" s="15"/>
      <c r="D24" s="15"/>
      <c r="F24" s="29"/>
      <c r="G24" s="29"/>
      <c r="H24" s="29"/>
      <c r="I24" s="29"/>
      <c r="J24" s="29"/>
    </row>
    <row r="25" spans="1:10" ht="13.5" thickBot="1" x14ac:dyDescent="0.25">
      <c r="A25" s="15"/>
      <c r="B25" s="17" t="s">
        <v>22</v>
      </c>
      <c r="C25" s="18" t="s">
        <v>23</v>
      </c>
      <c r="D25" s="19" t="s">
        <v>24</v>
      </c>
      <c r="E25" s="11" t="s">
        <v>25</v>
      </c>
      <c r="F25" s="29"/>
      <c r="G25" s="30" t="s">
        <v>3</v>
      </c>
      <c r="H25" s="30">
        <v>100</v>
      </c>
      <c r="I25" s="29"/>
      <c r="J25" s="29"/>
    </row>
    <row r="26" spans="1:10" x14ac:dyDescent="0.2">
      <c r="A26" s="15"/>
      <c r="B26" s="51" t="s">
        <v>31</v>
      </c>
      <c r="C26" s="68"/>
      <c r="D26" s="63"/>
      <c r="E26" s="11"/>
      <c r="F26" s="29"/>
      <c r="G26" s="30" t="s">
        <v>26</v>
      </c>
      <c r="H26" s="30">
        <v>200</v>
      </c>
      <c r="I26" s="29"/>
      <c r="J26" s="29"/>
    </row>
    <row r="27" spans="1:10" x14ac:dyDescent="0.2">
      <c r="A27" s="15"/>
      <c r="B27" s="53" t="s">
        <v>40</v>
      </c>
      <c r="C27" s="69"/>
      <c r="D27" s="64"/>
      <c r="E27" s="11"/>
      <c r="F27" s="11"/>
      <c r="G27" s="11"/>
      <c r="H27" s="11"/>
    </row>
    <row r="28" spans="1:10" x14ac:dyDescent="0.2">
      <c r="A28" s="15"/>
      <c r="B28" s="52" t="s">
        <v>32</v>
      </c>
      <c r="C28" s="70"/>
      <c r="D28" s="64"/>
      <c r="E28" s="11"/>
      <c r="F28" s="11"/>
      <c r="G28" s="11"/>
      <c r="H28" s="11"/>
    </row>
    <row r="29" spans="1:10" x14ac:dyDescent="0.2">
      <c r="A29" s="15"/>
      <c r="B29" s="53" t="s">
        <v>41</v>
      </c>
      <c r="C29" s="71"/>
      <c r="D29" s="65"/>
      <c r="E29" s="11"/>
      <c r="F29" s="11"/>
      <c r="G29" s="11"/>
      <c r="H29" s="11"/>
    </row>
    <row r="30" spans="1:10" x14ac:dyDescent="0.2">
      <c r="A30" s="15"/>
      <c r="B30" s="21" t="s">
        <v>30</v>
      </c>
      <c r="C30" s="70"/>
      <c r="D30" s="66"/>
      <c r="E30" s="11"/>
      <c r="F30" s="11"/>
      <c r="G30" s="11"/>
      <c r="H30" s="11"/>
    </row>
    <row r="31" spans="1:10" x14ac:dyDescent="0.2">
      <c r="A31" s="15"/>
      <c r="B31" s="53" t="s">
        <v>42</v>
      </c>
      <c r="C31" s="20"/>
      <c r="D31" s="64"/>
      <c r="E31" s="29" t="s">
        <v>35</v>
      </c>
      <c r="F31" s="11"/>
      <c r="G31" s="11"/>
      <c r="H31" s="11"/>
    </row>
    <row r="32" spans="1:10" x14ac:dyDescent="0.2">
      <c r="A32" s="15"/>
      <c r="B32" s="54" t="s">
        <v>43</v>
      </c>
      <c r="C32" s="72"/>
      <c r="D32" s="65"/>
      <c r="E32" s="29" t="s">
        <v>35</v>
      </c>
      <c r="F32" s="11"/>
      <c r="G32" s="11"/>
      <c r="H32" s="11"/>
    </row>
    <row r="33" spans="1:8" ht="13.5" thickBot="1" x14ac:dyDescent="0.25">
      <c r="A33" s="15"/>
      <c r="B33" s="23" t="s">
        <v>21</v>
      </c>
      <c r="C33" s="73"/>
      <c r="D33" s="67"/>
      <c r="E33" s="11"/>
      <c r="F33" s="11"/>
      <c r="G33" s="11"/>
      <c r="H33" s="11"/>
    </row>
    <row r="34" spans="1:8" x14ac:dyDescent="0.2">
      <c r="B34" s="22" t="s">
        <v>33</v>
      </c>
      <c r="C34" s="48"/>
      <c r="D34" s="48"/>
      <c r="E34" s="11"/>
      <c r="F34" s="11"/>
      <c r="G34" s="11"/>
      <c r="H34" s="11"/>
    </row>
    <row r="35" spans="1:8" ht="13.5" thickBot="1" x14ac:dyDescent="0.25">
      <c r="B35" t="s">
        <v>34</v>
      </c>
      <c r="C35" s="33"/>
      <c r="D35" s="49">
        <f>SUM(D33:D34)</f>
        <v>0</v>
      </c>
    </row>
    <row r="36" spans="1:8" ht="13.5" thickTop="1" x14ac:dyDescent="0.2"/>
  </sheetData>
  <mergeCells count="3">
    <mergeCell ref="B5:B6"/>
    <mergeCell ref="C5:C6"/>
    <mergeCell ref="D5:G5"/>
  </mergeCells>
  <phoneticPr fontId="3" type="noConversion"/>
  <pageMargins left="0.75" right="0.75" top="1" bottom="1" header="0.4921259845" footer="0.4921259845"/>
  <pageSetup paperSize="9" orientation="portrait" horizontalDpi="200" verticalDpi="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FH 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Hinterholzer Stefan</cp:lastModifiedBy>
  <dcterms:created xsi:type="dcterms:W3CDTF">2007-04-19T08:43:38Z</dcterms:created>
  <dcterms:modified xsi:type="dcterms:W3CDTF">2026-03-24T08:10:37Z</dcterms:modified>
</cp:coreProperties>
</file>
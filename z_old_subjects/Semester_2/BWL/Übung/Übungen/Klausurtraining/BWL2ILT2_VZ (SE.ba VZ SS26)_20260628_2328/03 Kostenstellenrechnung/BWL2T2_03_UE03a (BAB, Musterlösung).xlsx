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20016.FHOOE\Downloads\"/>
    </mc:Choice>
  </mc:AlternateContent>
  <xr:revisionPtr revIDLastSave="0" documentId="13_ncr:1_{15BB34FC-E225-4649-8DA4-AA3E3D6EE01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abelle1" sheetId="1" r:id="rId1"/>
    <sheet name="Tabelle2" sheetId="2" r:id="rId2"/>
    <sheet name="Tabelle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1" l="1"/>
  <c r="E8" i="1"/>
  <c r="E12" i="1" s="1"/>
  <c r="D25" i="1"/>
  <c r="G13" i="1"/>
  <c r="G15" i="1"/>
  <c r="G16" i="1"/>
  <c r="E13" i="1"/>
  <c r="E14" i="1"/>
  <c r="E15" i="1"/>
  <c r="E16" i="1"/>
  <c r="D13" i="1"/>
  <c r="D15" i="1"/>
  <c r="D16" i="1"/>
  <c r="D7" i="1"/>
  <c r="D19" i="1" s="1"/>
  <c r="F14" i="1"/>
  <c r="F15" i="1"/>
  <c r="F16" i="1"/>
  <c r="C18" i="1"/>
  <c r="C19" i="1"/>
  <c r="E19" i="1" l="1"/>
  <c r="F18" i="1"/>
  <c r="C20" i="1"/>
  <c r="G18" i="1"/>
  <c r="D18" i="1"/>
  <c r="E18" i="1"/>
  <c r="E20" i="1" l="1"/>
  <c r="C28" i="1" s="1"/>
  <c r="D28" i="1" s="1"/>
  <c r="G19" i="1"/>
  <c r="G20" i="1" s="1"/>
  <c r="C31" i="1" s="1"/>
  <c r="F19" i="1"/>
  <c r="F20" i="1" s="1"/>
  <c r="C30" i="1" s="1"/>
  <c r="D20" i="1"/>
  <c r="C26" i="1" s="1"/>
  <c r="D26" i="1" s="1"/>
  <c r="D29" i="1" l="1"/>
  <c r="D30" i="1" l="1"/>
  <c r="D31" i="1"/>
  <c r="D32" i="1" l="1"/>
  <c r="D33" i="1" s="1"/>
  <c r="D34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hinterho</author>
  </authors>
  <commentList>
    <comment ref="F19" authorId="0" shapeId="0" xr:uid="{00000000-0006-0000-0000-000001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  <comment ref="G19" authorId="0" shapeId="0" xr:uid="{00000000-0006-0000-0000-000002000000}">
      <text>
        <r>
          <rPr>
            <b/>
            <sz val="8"/>
            <color indexed="81"/>
            <rFont val="Tahoma"/>
            <family val="2"/>
          </rPr>
          <t>hinterho:</t>
        </r>
        <r>
          <rPr>
            <sz val="8"/>
            <color indexed="81"/>
            <rFont val="Tahoma"/>
            <family val="2"/>
          </rPr>
          <t xml:space="preserve">
Herstellkosten (HSK) = Materialeinzelkosten+Materialgemeinkosten+Fertigungseinzelkosten+Fertigungsgemeinkosten
</t>
        </r>
      </text>
    </comment>
  </commentList>
</comments>
</file>

<file path=xl/sharedStrings.xml><?xml version="1.0" encoding="utf-8"?>
<sst xmlns="http://schemas.openxmlformats.org/spreadsheetml/2006/main" count="56" uniqueCount="45">
  <si>
    <t>Kostenart</t>
  </si>
  <si>
    <t>Betrag</t>
  </si>
  <si>
    <t>Kostenstellen</t>
  </si>
  <si>
    <t>Material</t>
  </si>
  <si>
    <t>Fertigung</t>
  </si>
  <si>
    <t>Verwaltung</t>
  </si>
  <si>
    <t>Vertrieb</t>
  </si>
  <si>
    <t>1.Fertigungsmaterial</t>
  </si>
  <si>
    <t>2.Fertigungslöhne</t>
  </si>
  <si>
    <t>3.Hilfsmaterial</t>
  </si>
  <si>
    <t>4.Hilfslöhne</t>
  </si>
  <si>
    <t>5.Gehälter</t>
  </si>
  <si>
    <t>6.Lohnnebenkosten FL</t>
  </si>
  <si>
    <t>7.Lohnnebenkosten HL</t>
  </si>
  <si>
    <t>8.Gehaltsnebenkosten</t>
  </si>
  <si>
    <t>9.Div. Kosten</t>
  </si>
  <si>
    <t>10.Kalk. Zinsen</t>
  </si>
  <si>
    <t>11.Kalk. Abschreibung</t>
  </si>
  <si>
    <t>Gemeinkostensummen</t>
  </si>
  <si>
    <t>Zuschlagsbasen</t>
  </si>
  <si>
    <t>GK-Zuschlagssätze</t>
  </si>
  <si>
    <t>VertriebsGK</t>
  </si>
  <si>
    <t>VerwaltungsGK</t>
  </si>
  <si>
    <t>Selbstkosten</t>
  </si>
  <si>
    <t>Bezeichnung</t>
  </si>
  <si>
    <t>%</t>
  </si>
  <si>
    <t>€ in Tausend</t>
  </si>
  <si>
    <t>Zusatzauftrag:</t>
  </si>
  <si>
    <t>Löhne</t>
  </si>
  <si>
    <t>Einzelkosten</t>
  </si>
  <si>
    <t>Gemeinkosten</t>
  </si>
  <si>
    <t>Kostenträgerrechnung</t>
  </si>
  <si>
    <t>Herstellkosten (Summe)</t>
  </si>
  <si>
    <t>Materialeinzelkosten</t>
  </si>
  <si>
    <t>Fertigungslöhne</t>
  </si>
  <si>
    <t>Materialgemeinkosten</t>
  </si>
  <si>
    <t>Fertigungsgemeinkosten</t>
  </si>
  <si>
    <t>+ Gewinn</t>
  </si>
  <si>
    <t>Nettoverkaufspreis</t>
  </si>
  <si>
    <t>als Basis die Herstellkosten verwenden !</t>
  </si>
  <si>
    <t>Betriebsabrechnungsbogen (BAB)</t>
  </si>
  <si>
    <t>Kostenstellenrechnung (Wo sind die Kosten angefallen ?)</t>
  </si>
  <si>
    <r>
      <t xml:space="preserve">Kalkulation oder Kostenträgerrechnung (Wieviel kostet </t>
    </r>
    <r>
      <rPr>
        <b/>
        <sz val="10"/>
        <rFont val="Arial"/>
        <family val="2"/>
      </rPr>
      <t>uns</t>
    </r>
    <r>
      <rPr>
        <sz val="10"/>
        <rFont val="Arial"/>
        <family val="2"/>
      </rPr>
      <t xml:space="preserve"> eine Leistung die wir anbieten wollen)</t>
    </r>
  </si>
  <si>
    <t xml:space="preserve">BWL2T2 </t>
  </si>
  <si>
    <t>UE03a (BAB, Musterlösung)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</si>
</sst>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8"/>
      <name val="Arial"/>
      <family val="2"/>
    </font>
    <font>
      <sz val="10"/>
      <color indexed="9"/>
      <name val="Arial"/>
      <family val="2"/>
    </font>
    <font>
      <sz val="10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0"/>
      <name val="Arial"/>
      <family val="2"/>
    </font>
    <font>
      <b/>
      <sz val="10"/>
      <color rgb="FFFF00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4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rgb="FFC00000"/>
      </top>
      <bottom/>
      <diagonal/>
    </border>
    <border>
      <left/>
      <right style="medium">
        <color indexed="64"/>
      </right>
      <top/>
      <bottom style="thin">
        <color rgb="FFC00000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77">
    <xf numFmtId="0" fontId="0" fillId="0" borderId="0" xfId="0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2" fillId="0" borderId="0" xfId="0" applyFont="1"/>
    <xf numFmtId="1" fontId="2" fillId="0" borderId="0" xfId="0" applyNumberFormat="1" applyFont="1"/>
    <xf numFmtId="1" fontId="0" fillId="0" borderId="0" xfId="0" applyNumberFormat="1"/>
    <xf numFmtId="0" fontId="4" fillId="0" borderId="0" xfId="0" applyFont="1"/>
    <xf numFmtId="0" fontId="2" fillId="0" borderId="0" xfId="0" applyFont="1" applyAlignment="1">
      <alignment horizontal="left"/>
    </xf>
    <xf numFmtId="10" fontId="6" fillId="0" borderId="0" xfId="1" applyNumberFormat="1" applyFont="1" applyBorder="1"/>
    <xf numFmtId="10" fontId="6" fillId="0" borderId="0" xfId="0" applyNumberFormat="1" applyFont="1"/>
    <xf numFmtId="0" fontId="6" fillId="0" borderId="0" xfId="0" applyFont="1"/>
    <xf numFmtId="0" fontId="9" fillId="0" borderId="0" xfId="0" applyFont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18" xfId="0" applyFont="1" applyBorder="1"/>
    <xf numFmtId="0" fontId="10" fillId="0" borderId="19" xfId="0" applyFont="1" applyBorder="1"/>
    <xf numFmtId="0" fontId="1" fillId="0" borderId="0" xfId="0" applyFont="1"/>
    <xf numFmtId="0" fontId="1" fillId="0" borderId="20" xfId="0" applyFont="1" applyBorder="1"/>
    <xf numFmtId="0" fontId="1" fillId="0" borderId="21" xfId="0" applyFont="1" applyBorder="1"/>
    <xf numFmtId="0" fontId="10" fillId="2" borderId="21" xfId="0" applyFont="1" applyFill="1" applyBorder="1"/>
    <xf numFmtId="0" fontId="1" fillId="0" borderId="22" xfId="0" applyFont="1" applyBorder="1"/>
    <xf numFmtId="0" fontId="5" fillId="0" borderId="0" xfId="0" quotePrefix="1" applyFont="1"/>
    <xf numFmtId="0" fontId="10" fillId="3" borderId="23" xfId="0" applyFont="1" applyFill="1" applyBorder="1"/>
    <xf numFmtId="0" fontId="5" fillId="0" borderId="24" xfId="0" applyFont="1" applyBorder="1"/>
    <xf numFmtId="0" fontId="5" fillId="0" borderId="29" xfId="0" applyFont="1" applyBorder="1"/>
    <xf numFmtId="0" fontId="5" fillId="0" borderId="8" xfId="0" applyFont="1" applyBorder="1"/>
    <xf numFmtId="10" fontId="5" fillId="0" borderId="0" xfId="1" applyNumberFormat="1" applyFont="1" applyBorder="1"/>
    <xf numFmtId="0" fontId="5" fillId="0" borderId="41" xfId="0" applyFont="1" applyBorder="1"/>
    <xf numFmtId="0" fontId="5" fillId="0" borderId="0" xfId="0" applyFont="1"/>
    <xf numFmtId="0" fontId="11" fillId="0" borderId="15" xfId="0" applyFont="1" applyBorder="1"/>
    <xf numFmtId="0" fontId="0" fillId="5" borderId="0" xfId="0" applyFill="1"/>
    <xf numFmtId="164" fontId="11" fillId="0" borderId="0" xfId="0" applyNumberFormat="1" applyFont="1"/>
    <xf numFmtId="164" fontId="11" fillId="0" borderId="16" xfId="0" applyNumberFormat="1" applyFont="1" applyBorder="1"/>
    <xf numFmtId="0" fontId="5" fillId="4" borderId="0" xfId="0" applyFont="1" applyFill="1"/>
    <xf numFmtId="1" fontId="1" fillId="0" borderId="30" xfId="0" applyNumberFormat="1" applyFont="1" applyBorder="1"/>
    <xf numFmtId="1" fontId="1" fillId="0" borderId="31" xfId="0" applyNumberFormat="1" applyFont="1" applyBorder="1"/>
    <xf numFmtId="0" fontId="11" fillId="0" borderId="8" xfId="0" applyFont="1" applyBorder="1"/>
    <xf numFmtId="10" fontId="11" fillId="0" borderId="9" xfId="0" applyNumberFormat="1" applyFont="1" applyBorder="1"/>
    <xf numFmtId="0" fontId="1" fillId="0" borderId="28" xfId="0" applyFont="1" applyBorder="1"/>
    <xf numFmtId="0" fontId="1" fillId="0" borderId="12" xfId="0" applyFont="1" applyBorder="1"/>
    <xf numFmtId="0" fontId="11" fillId="0" borderId="10" xfId="0" applyFont="1" applyBorder="1"/>
    <xf numFmtId="0" fontId="11" fillId="0" borderId="11" xfId="0" applyFont="1" applyBorder="1"/>
    <xf numFmtId="0" fontId="11" fillId="0" borderId="14" xfId="0" applyFont="1" applyBorder="1"/>
    <xf numFmtId="0" fontId="11" fillId="0" borderId="12" xfId="0" applyFont="1" applyBorder="1"/>
    <xf numFmtId="0" fontId="11" fillId="0" borderId="13" xfId="0" applyFont="1" applyBorder="1"/>
    <xf numFmtId="164" fontId="1" fillId="0" borderId="0" xfId="1" applyNumberFormat="1" applyFont="1" applyBorder="1"/>
    <xf numFmtId="164" fontId="1" fillId="0" borderId="36" xfId="1" applyNumberFormat="1" applyFont="1" applyBorder="1"/>
    <xf numFmtId="164" fontId="1" fillId="0" borderId="0" xfId="0" applyNumberFormat="1" applyFont="1"/>
    <xf numFmtId="164" fontId="1" fillId="0" borderId="38" xfId="0" applyNumberFormat="1" applyFont="1" applyBorder="1"/>
    <xf numFmtId="0" fontId="12" fillId="0" borderId="0" xfId="0" applyFont="1"/>
    <xf numFmtId="1" fontId="1" fillId="0" borderId="32" xfId="0" applyNumberFormat="1" applyFont="1" applyBorder="1"/>
    <xf numFmtId="1" fontId="1" fillId="0" borderId="14" xfId="0" applyNumberFormat="1" applyFont="1" applyBorder="1"/>
    <xf numFmtId="1" fontId="1" fillId="0" borderId="12" xfId="0" applyNumberFormat="1" applyFont="1" applyBorder="1"/>
    <xf numFmtId="1" fontId="1" fillId="0" borderId="13" xfId="0" applyNumberFormat="1" applyFont="1" applyBorder="1"/>
    <xf numFmtId="164" fontId="1" fillId="6" borderId="33" xfId="1" applyNumberFormat="1" applyFont="1" applyFill="1" applyBorder="1"/>
    <xf numFmtId="9" fontId="1" fillId="0" borderId="40" xfId="0" applyNumberFormat="1" applyFont="1" applyBorder="1"/>
    <xf numFmtId="3" fontId="1" fillId="0" borderId="40" xfId="0" applyNumberFormat="1" applyFont="1" applyBorder="1"/>
    <xf numFmtId="1" fontId="1" fillId="0" borderId="22" xfId="0" applyNumberFormat="1" applyFont="1" applyBorder="1"/>
    <xf numFmtId="0" fontId="1" fillId="0" borderId="43" xfId="0" applyFont="1" applyBorder="1"/>
    <xf numFmtId="3" fontId="1" fillId="6" borderId="34" xfId="0" applyNumberFormat="1" applyFont="1" applyFill="1" applyBorder="1"/>
    <xf numFmtId="3" fontId="1" fillId="0" borderId="35" xfId="0" applyNumberFormat="1" applyFont="1" applyBorder="1"/>
    <xf numFmtId="3" fontId="1" fillId="6" borderId="35" xfId="0" applyNumberFormat="1" applyFont="1" applyFill="1" applyBorder="1"/>
    <xf numFmtId="3" fontId="1" fillId="0" borderId="42" xfId="0" applyNumberFormat="1" applyFont="1" applyBorder="1"/>
    <xf numFmtId="3" fontId="2" fillId="0" borderId="35" xfId="0" applyNumberFormat="1" applyFont="1" applyBorder="1"/>
    <xf numFmtId="3" fontId="1" fillId="0" borderId="37" xfId="0" applyNumberFormat="1" applyFont="1" applyBorder="1"/>
    <xf numFmtId="3" fontId="2" fillId="0" borderId="39" xfId="0" applyNumberFormat="1" applyFont="1" applyBorder="1"/>
    <xf numFmtId="3" fontId="1" fillId="0" borderId="43" xfId="0" applyNumberFormat="1" applyFont="1" applyBorder="1"/>
    <xf numFmtId="0" fontId="2" fillId="7" borderId="0" xfId="0" applyFont="1" applyFill="1"/>
    <xf numFmtId="0" fontId="2" fillId="0" borderId="24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/>
    </xf>
    <xf numFmtId="0" fontId="2" fillId="0" borderId="26" xfId="0" applyFont="1" applyBorder="1" applyAlignment="1">
      <alignment horizontal="center"/>
    </xf>
    <xf numFmtId="0" fontId="2" fillId="0" borderId="27" xfId="0" applyFont="1" applyBorder="1" applyAlignment="1">
      <alignment horizont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5"/>
  <sheetViews>
    <sheetView tabSelected="1" zoomScale="118" zoomScaleNormal="118" workbookViewId="0">
      <selection activeCell="F2" sqref="F2"/>
    </sheetView>
  </sheetViews>
  <sheetFormatPr defaultColWidth="11.44140625" defaultRowHeight="13.2" x14ac:dyDescent="0.25"/>
  <cols>
    <col min="1" max="1" width="20" customWidth="1"/>
    <col min="2" max="2" width="23.88671875" customWidth="1"/>
    <col min="3" max="3" width="8.44140625" bestFit="1" customWidth="1"/>
    <col min="4" max="4" width="12.5546875" bestFit="1" customWidth="1"/>
    <col min="8" max="8" width="14.44140625" customWidth="1"/>
    <col min="9" max="9" width="13.88671875" bestFit="1" customWidth="1"/>
  </cols>
  <sheetData>
    <row r="1" spans="1:10" x14ac:dyDescent="0.25">
      <c r="A1" s="71" t="s">
        <v>43</v>
      </c>
      <c r="B1" s="71" t="s">
        <v>44</v>
      </c>
      <c r="C1" s="71"/>
      <c r="D1" s="71"/>
    </row>
    <row r="3" spans="1:10" x14ac:dyDescent="0.25">
      <c r="A3" s="20" t="s">
        <v>41</v>
      </c>
    </row>
    <row r="4" spans="1:10" ht="13.8" thickBot="1" x14ac:dyDescent="0.3"/>
    <row r="5" spans="1:10" x14ac:dyDescent="0.25">
      <c r="A5" s="8"/>
      <c r="B5" s="72" t="s">
        <v>0</v>
      </c>
      <c r="C5" s="72" t="s">
        <v>1</v>
      </c>
      <c r="D5" s="74" t="s">
        <v>2</v>
      </c>
      <c r="E5" s="75"/>
      <c r="F5" s="75"/>
      <c r="G5" s="76"/>
      <c r="H5" s="53" t="s">
        <v>40</v>
      </c>
      <c r="I5" s="53"/>
      <c r="J5" s="8"/>
    </row>
    <row r="6" spans="1:10" ht="13.8" thickBot="1" x14ac:dyDescent="0.3">
      <c r="A6" s="20"/>
      <c r="B6" s="73"/>
      <c r="C6" s="73"/>
      <c r="D6" s="1" t="s">
        <v>3</v>
      </c>
      <c r="E6" s="2" t="s">
        <v>4</v>
      </c>
      <c r="F6" s="2" t="s">
        <v>5</v>
      </c>
      <c r="G6" s="3" t="s">
        <v>6</v>
      </c>
    </row>
    <row r="7" spans="1:10" x14ac:dyDescent="0.25">
      <c r="B7" s="4" t="s">
        <v>7</v>
      </c>
      <c r="C7" s="27">
        <v>632</v>
      </c>
      <c r="D7" s="42">
        <f>C7</f>
        <v>632</v>
      </c>
      <c r="E7" s="44"/>
      <c r="F7" s="44"/>
      <c r="G7" s="45"/>
      <c r="H7" t="s">
        <v>29</v>
      </c>
      <c r="I7" s="8"/>
      <c r="J7" s="9"/>
    </row>
    <row r="8" spans="1:10" ht="13.8" thickBot="1" x14ac:dyDescent="0.3">
      <c r="B8" s="5" t="s">
        <v>8</v>
      </c>
      <c r="C8" s="28">
        <v>720</v>
      </c>
      <c r="D8" s="46"/>
      <c r="E8" s="43">
        <f>C8</f>
        <v>720</v>
      </c>
      <c r="F8" s="47"/>
      <c r="G8" s="48"/>
      <c r="H8" t="s">
        <v>29</v>
      </c>
      <c r="J8" s="10"/>
    </row>
    <row r="9" spans="1:10" x14ac:dyDescent="0.25">
      <c r="B9" s="6" t="s">
        <v>9</v>
      </c>
      <c r="C9" s="29">
        <v>98</v>
      </c>
      <c r="D9" s="38">
        <v>22</v>
      </c>
      <c r="E9" s="39">
        <v>76</v>
      </c>
      <c r="F9" s="39"/>
      <c r="G9" s="54"/>
      <c r="H9" s="34" t="s">
        <v>30</v>
      </c>
      <c r="J9" s="10"/>
    </row>
    <row r="10" spans="1:10" x14ac:dyDescent="0.25">
      <c r="B10" s="7" t="s">
        <v>10</v>
      </c>
      <c r="C10" s="29">
        <v>216</v>
      </c>
      <c r="D10" s="38">
        <v>17</v>
      </c>
      <c r="E10" s="39">
        <v>183</v>
      </c>
      <c r="F10" s="39"/>
      <c r="G10" s="54">
        <v>16</v>
      </c>
      <c r="H10" s="34" t="s">
        <v>30</v>
      </c>
      <c r="I10" s="8"/>
      <c r="J10" s="9"/>
    </row>
    <row r="11" spans="1:10" x14ac:dyDescent="0.25">
      <c r="B11" s="7" t="s">
        <v>11</v>
      </c>
      <c r="C11" s="29">
        <v>580</v>
      </c>
      <c r="D11" s="38"/>
      <c r="E11" s="39">
        <v>30</v>
      </c>
      <c r="F11" s="39">
        <v>425</v>
      </c>
      <c r="G11" s="54">
        <v>125</v>
      </c>
      <c r="H11" s="34" t="s">
        <v>30</v>
      </c>
    </row>
    <row r="12" spans="1:10" x14ac:dyDescent="0.25">
      <c r="B12" s="7" t="s">
        <v>12</v>
      </c>
      <c r="C12" s="29">
        <v>734</v>
      </c>
      <c r="D12" s="38"/>
      <c r="E12" s="39">
        <f>E8*1.02</f>
        <v>734.4</v>
      </c>
      <c r="F12" s="39"/>
      <c r="G12" s="54"/>
      <c r="H12" s="34" t="s">
        <v>30</v>
      </c>
    </row>
    <row r="13" spans="1:10" x14ac:dyDescent="0.25">
      <c r="B13" s="7" t="s">
        <v>13</v>
      </c>
      <c r="C13" s="29">
        <v>112</v>
      </c>
      <c r="D13" s="38">
        <f>D10*0.52</f>
        <v>8.84</v>
      </c>
      <c r="E13" s="38">
        <f>E10*0.52</f>
        <v>95.16</v>
      </c>
      <c r="F13" s="39"/>
      <c r="G13" s="54">
        <f>G10*0.52</f>
        <v>8.32</v>
      </c>
      <c r="H13" s="34" t="s">
        <v>30</v>
      </c>
    </row>
    <row r="14" spans="1:10" x14ac:dyDescent="0.25">
      <c r="B14" s="7" t="s">
        <v>14</v>
      </c>
      <c r="C14" s="29">
        <v>336</v>
      </c>
      <c r="D14" s="38"/>
      <c r="E14" s="39">
        <f>E11*0.58</f>
        <v>17.399999999999999</v>
      </c>
      <c r="F14" s="39">
        <f>F11*0.58</f>
        <v>246.49999999999997</v>
      </c>
      <c r="G14" s="54">
        <f>G11*0.58</f>
        <v>72.5</v>
      </c>
      <c r="H14" s="34" t="s">
        <v>30</v>
      </c>
    </row>
    <row r="15" spans="1:10" x14ac:dyDescent="0.25">
      <c r="B15" s="7" t="s">
        <v>15</v>
      </c>
      <c r="C15" s="29">
        <v>1320</v>
      </c>
      <c r="D15" s="38">
        <f>$C$15*0.025</f>
        <v>33</v>
      </c>
      <c r="E15" s="38">
        <f>C15*0.289</f>
        <v>381.47999999999996</v>
      </c>
      <c r="F15" s="38">
        <f>C15*0.368</f>
        <v>485.76</v>
      </c>
      <c r="G15" s="54">
        <f>C15*0.318</f>
        <v>419.76</v>
      </c>
      <c r="H15" s="34" t="s">
        <v>30</v>
      </c>
    </row>
    <row r="16" spans="1:10" x14ac:dyDescent="0.25">
      <c r="B16" s="7" t="s">
        <v>16</v>
      </c>
      <c r="C16" s="29">
        <v>830</v>
      </c>
      <c r="D16" s="38">
        <f>680/3580*$C$16</f>
        <v>157.6536312849162</v>
      </c>
      <c r="E16" s="38">
        <f>2430/3580*$C$16</f>
        <v>563.37988826815649</v>
      </c>
      <c r="F16" s="38">
        <f>420/3580*$C$16</f>
        <v>97.374301675977648</v>
      </c>
      <c r="G16" s="54">
        <f>50/3580*$C$16</f>
        <v>11.592178770949721</v>
      </c>
      <c r="H16" s="34" t="s">
        <v>30</v>
      </c>
      <c r="J16" s="10"/>
    </row>
    <row r="17" spans="1:10" x14ac:dyDescent="0.25">
      <c r="B17" s="7" t="s">
        <v>17</v>
      </c>
      <c r="C17" s="28">
        <v>563</v>
      </c>
      <c r="D17" s="55">
        <v>49</v>
      </c>
      <c r="E17" s="56">
        <v>363</v>
      </c>
      <c r="F17" s="56">
        <v>114</v>
      </c>
      <c r="G17" s="57">
        <v>37</v>
      </c>
      <c r="H17" s="34" t="s">
        <v>30</v>
      </c>
    </row>
    <row r="18" spans="1:10" x14ac:dyDescent="0.25">
      <c r="B18" s="7" t="s">
        <v>18</v>
      </c>
      <c r="C18" s="40">
        <f>SUM(C9:C17)</f>
        <v>4789</v>
      </c>
      <c r="D18" s="38">
        <f>SUM(D9:D17)</f>
        <v>287.49363128491621</v>
      </c>
      <c r="E18" s="39">
        <f>SUM(E9:E17)</f>
        <v>2443.8198882681563</v>
      </c>
      <c r="F18" s="39">
        <f>SUM(F9:F17)</f>
        <v>1368.6343016759777</v>
      </c>
      <c r="G18" s="54">
        <f>SUM(G9:G17)</f>
        <v>690.1721787709497</v>
      </c>
    </row>
    <row r="19" spans="1:10" x14ac:dyDescent="0.25">
      <c r="B19" s="7" t="s">
        <v>19</v>
      </c>
      <c r="C19" s="40">
        <f>SUM(C7:C8)</f>
        <v>1352</v>
      </c>
      <c r="D19" s="61">
        <f>D7</f>
        <v>632</v>
      </c>
      <c r="E19" s="56">
        <f>E8</f>
        <v>720</v>
      </c>
      <c r="F19" s="56">
        <f>SUM($D$18:$E$19)</f>
        <v>4083.3135195530726</v>
      </c>
      <c r="G19" s="56">
        <f>SUM($D$18:$E$19)</f>
        <v>4083.3135195530726</v>
      </c>
    </row>
    <row r="20" spans="1:10" ht="13.8" thickBot="1" x14ac:dyDescent="0.3">
      <c r="B20" s="5" t="s">
        <v>20</v>
      </c>
      <c r="C20" s="41">
        <f>C18/C19</f>
        <v>3.5421597633136095</v>
      </c>
      <c r="D20" s="58">
        <f>D18/D19</f>
        <v>0.45489498621031044</v>
      </c>
      <c r="E20" s="58">
        <f>E18/E19</f>
        <v>3.3941942892613284</v>
      </c>
      <c r="F20" s="58">
        <f t="shared" ref="F20:G20" si="0">F18/F19</f>
        <v>0.3351773737486064</v>
      </c>
      <c r="G20" s="58">
        <f t="shared" si="0"/>
        <v>0.16902257822379765</v>
      </c>
    </row>
    <row r="21" spans="1:10" x14ac:dyDescent="0.25">
      <c r="B21" s="12"/>
      <c r="C21" s="14"/>
      <c r="D21" s="13"/>
      <c r="E21" s="13"/>
      <c r="F21" s="13"/>
      <c r="G21" s="13"/>
    </row>
    <row r="22" spans="1:10" x14ac:dyDescent="0.25">
      <c r="A22" s="15"/>
      <c r="B22" s="16" t="s">
        <v>31</v>
      </c>
      <c r="C22" s="14"/>
      <c r="D22" s="13"/>
      <c r="E22" s="13"/>
      <c r="F22" s="30"/>
      <c r="G22" s="30"/>
      <c r="H22" s="31"/>
      <c r="I22" s="32"/>
      <c r="J22" s="32"/>
    </row>
    <row r="23" spans="1:10" ht="13.8" thickBot="1" x14ac:dyDescent="0.3">
      <c r="A23" s="20" t="s">
        <v>42</v>
      </c>
      <c r="B23" s="11"/>
      <c r="C23" s="11"/>
      <c r="E23" s="20"/>
      <c r="F23" s="20"/>
      <c r="G23" s="20"/>
      <c r="H23" s="32"/>
      <c r="I23" s="32"/>
      <c r="J23" s="32"/>
    </row>
    <row r="24" spans="1:10" ht="13.8" thickBot="1" x14ac:dyDescent="0.3">
      <c r="A24" s="15"/>
      <c r="B24" s="17" t="s">
        <v>24</v>
      </c>
      <c r="C24" s="18" t="s">
        <v>25</v>
      </c>
      <c r="D24" s="19" t="s">
        <v>26</v>
      </c>
      <c r="E24" s="11" t="s">
        <v>27</v>
      </c>
      <c r="F24" s="32"/>
      <c r="G24" s="37" t="s">
        <v>3</v>
      </c>
      <c r="H24" s="37">
        <v>100</v>
      </c>
      <c r="I24" s="32"/>
      <c r="J24" s="32"/>
    </row>
    <row r="25" spans="1:10" x14ac:dyDescent="0.25">
      <c r="A25" s="15"/>
      <c r="B25" s="21" t="s">
        <v>33</v>
      </c>
      <c r="C25" s="33"/>
      <c r="D25" s="63">
        <f>H24</f>
        <v>100</v>
      </c>
      <c r="E25" s="11"/>
      <c r="F25" s="32"/>
      <c r="G25" s="37" t="s">
        <v>28</v>
      </c>
      <c r="H25" s="37">
        <v>200</v>
      </c>
      <c r="I25" s="32"/>
      <c r="J25" s="32"/>
    </row>
    <row r="26" spans="1:10" x14ac:dyDescent="0.25">
      <c r="A26" s="15"/>
      <c r="B26" s="22" t="s">
        <v>35</v>
      </c>
      <c r="C26" s="49">
        <f>D20</f>
        <v>0.45489498621031044</v>
      </c>
      <c r="D26" s="64">
        <f>D25*C26</f>
        <v>45.489498621031046</v>
      </c>
      <c r="E26" s="11"/>
      <c r="F26" s="11"/>
      <c r="G26" s="11"/>
      <c r="H26" s="11"/>
    </row>
    <row r="27" spans="1:10" x14ac:dyDescent="0.25">
      <c r="A27" s="15"/>
      <c r="B27" s="22" t="s">
        <v>34</v>
      </c>
      <c r="C27" s="35"/>
      <c r="D27" s="65">
        <v>200</v>
      </c>
      <c r="E27" s="11"/>
      <c r="F27" s="11"/>
      <c r="G27" s="11"/>
      <c r="H27" s="11"/>
    </row>
    <row r="28" spans="1:10" x14ac:dyDescent="0.25">
      <c r="A28" s="15"/>
      <c r="B28" s="22" t="s">
        <v>36</v>
      </c>
      <c r="C28" s="50">
        <f>E20</f>
        <v>3.3941942892613284</v>
      </c>
      <c r="D28" s="66">
        <f>D27*C28</f>
        <v>678.83885785226562</v>
      </c>
      <c r="E28" s="11"/>
      <c r="F28" s="11"/>
      <c r="G28" s="11"/>
      <c r="H28" s="11"/>
    </row>
    <row r="29" spans="1:10" x14ac:dyDescent="0.25">
      <c r="A29" s="15"/>
      <c r="B29" s="23" t="s">
        <v>32</v>
      </c>
      <c r="C29" s="35"/>
      <c r="D29" s="67">
        <f>SUM(D25:D28)</f>
        <v>1024.3283564732967</v>
      </c>
      <c r="E29" s="11"/>
      <c r="F29" s="11"/>
      <c r="G29" s="11"/>
      <c r="H29" s="11"/>
    </row>
    <row r="30" spans="1:10" x14ac:dyDescent="0.25">
      <c r="A30" s="15"/>
      <c r="B30" s="22" t="s">
        <v>22</v>
      </c>
      <c r="C30" s="51">
        <f>F20</f>
        <v>0.3351773737486064</v>
      </c>
      <c r="D30" s="64">
        <f>$D$29*C30</f>
        <v>343.3316883789459</v>
      </c>
      <c r="E30" s="32" t="s">
        <v>39</v>
      </c>
      <c r="F30" s="11"/>
      <c r="G30" s="11"/>
      <c r="H30" s="11"/>
    </row>
    <row r="31" spans="1:10" x14ac:dyDescent="0.25">
      <c r="A31" s="15"/>
      <c r="B31" s="24" t="s">
        <v>21</v>
      </c>
      <c r="C31" s="52">
        <f>G20</f>
        <v>0.16902257822379765</v>
      </c>
      <c r="D31" s="68">
        <f>$D$29*C31</f>
        <v>173.13461975886187</v>
      </c>
      <c r="E31" s="32" t="s">
        <v>39</v>
      </c>
      <c r="F31" s="11"/>
      <c r="G31" s="11"/>
      <c r="H31" s="11"/>
    </row>
    <row r="32" spans="1:10" ht="13.8" thickBot="1" x14ac:dyDescent="0.3">
      <c r="A32" s="15"/>
      <c r="B32" s="26" t="s">
        <v>23</v>
      </c>
      <c r="C32" s="36"/>
      <c r="D32" s="69">
        <f>SUM(D29:D31)</f>
        <v>1540.7946646111045</v>
      </c>
      <c r="E32" s="11"/>
      <c r="F32" s="11"/>
      <c r="G32" s="11"/>
      <c r="H32" s="11"/>
    </row>
    <row r="33" spans="2:8" x14ac:dyDescent="0.25">
      <c r="B33" s="25" t="s">
        <v>37</v>
      </c>
      <c r="C33" s="59">
        <v>0.2</v>
      </c>
      <c r="D33" s="60">
        <f>D32*C33</f>
        <v>308.15893292222091</v>
      </c>
      <c r="E33" s="11"/>
      <c r="F33" s="11"/>
      <c r="G33" s="11"/>
      <c r="H33" s="11"/>
    </row>
    <row r="34" spans="2:8" ht="13.8" thickBot="1" x14ac:dyDescent="0.3">
      <c r="B34" t="s">
        <v>38</v>
      </c>
      <c r="C34" s="62"/>
      <c r="D34" s="70">
        <f>SUM(D32:D33)</f>
        <v>1848.9535975333254</v>
      </c>
    </row>
    <row r="35" spans="2:8" ht="13.8" thickTop="1" x14ac:dyDescent="0.25"/>
  </sheetData>
  <mergeCells count="3">
    <mergeCell ref="B5:B6"/>
    <mergeCell ref="C5:C6"/>
    <mergeCell ref="D5:G5"/>
  </mergeCells>
  <phoneticPr fontId="3" type="noConversion"/>
  <pageMargins left="0.75" right="0.75" top="1" bottom="1" header="0.4921259845" footer="0.4921259845"/>
  <pageSetup paperSize="9" orientation="portrait" horizontalDpi="200" verticalDpi="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11.44140625" defaultRowHeight="13.2" x14ac:dyDescent="0.25"/>
  <sheetData/>
  <phoneticPr fontId="3" type="noConversion"/>
  <pageMargins left="0.75" right="0.75" top="1" bottom="1" header="0.4921259845" footer="0.492125984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11.44140625" defaultRowHeight="13.2" x14ac:dyDescent="0.25"/>
  <sheetData/>
  <phoneticPr fontId="3" type="noConversion"/>
  <pageMargins left="0.75" right="0.75" top="1" bottom="1" header="0.4921259845" footer="0.492125984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Tabelle1</vt:lpstr>
      <vt:lpstr>Tabelle2</vt:lpstr>
      <vt:lpstr>Tabelle3</vt:lpstr>
    </vt:vector>
  </TitlesOfParts>
  <Company>FH Hagenberg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Hinterholzer Stefan</cp:lastModifiedBy>
  <dcterms:created xsi:type="dcterms:W3CDTF">2007-04-19T08:43:38Z</dcterms:created>
  <dcterms:modified xsi:type="dcterms:W3CDTF">2024-02-19T07:44:46Z</dcterms:modified>
</cp:coreProperties>
</file>
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3_Kostenstellenrechnung/"/>
    </mc:Choice>
  </mc:AlternateContent>
  <xr:revisionPtr revIDLastSave="0" documentId="8_{E0C74EAF-75B5-4E79-9D23-83386360E2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E13" i="1" l="1"/>
  <c r="E15" i="1" s="1"/>
  <c r="F13" i="1"/>
  <c r="F15" i="1" s="1"/>
  <c r="G13" i="1"/>
  <c r="D13" i="1"/>
  <c r="B13" i="1"/>
  <c r="G14" i="1" l="1"/>
  <c r="G15" i="1" s="1"/>
  <c r="D15" i="1"/>
</calcChain>
</file>

<file path=xl/sharedStrings.xml><?xml version="1.0" encoding="utf-8"?>
<sst xmlns="http://schemas.openxmlformats.org/spreadsheetml/2006/main" count="38" uniqueCount="29">
  <si>
    <t>Uebung 03b</t>
  </si>
  <si>
    <t>Kostenarten</t>
  </si>
  <si>
    <t>Gemeinkosten</t>
  </si>
  <si>
    <t>Fertigungslöhne</t>
  </si>
  <si>
    <t>Fertigungsmaterial</t>
  </si>
  <si>
    <t>Kostenschlüssel</t>
  </si>
  <si>
    <t>Kostenstellen</t>
  </si>
  <si>
    <t>Material</t>
  </si>
  <si>
    <t>Fertigung 1</t>
  </si>
  <si>
    <t>Fertigung 2</t>
  </si>
  <si>
    <t>Verw. und Vertr.</t>
  </si>
  <si>
    <t>Gehälter</t>
  </si>
  <si>
    <t>Hilfsstoffe</t>
  </si>
  <si>
    <t>kalk. Zinsen</t>
  </si>
  <si>
    <t>kalk. Miete</t>
  </si>
  <si>
    <t>Strom</t>
  </si>
  <si>
    <t>Lohn- und Gehaltsnebenkosten</t>
  </si>
  <si>
    <t>kalk. Abschreibung</t>
  </si>
  <si>
    <t>prozentual</t>
  </si>
  <si>
    <t>Löhne / Gehälter</t>
  </si>
  <si>
    <t>investiertes Verm.</t>
  </si>
  <si>
    <t>m2</t>
  </si>
  <si>
    <t>kWh</t>
  </si>
  <si>
    <t>Summe Gemeinkosten</t>
  </si>
  <si>
    <t>(Verteilung je nach ..)</t>
  </si>
  <si>
    <t>Zuschlagsbasen</t>
  </si>
  <si>
    <t>Gemeinkosten-Zuschlagssätze</t>
  </si>
  <si>
    <t>EK</t>
  </si>
  <si>
    <t>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</si>
</sst>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0" fillId="3" borderId="1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/>
    <xf numFmtId="0" fontId="0" fillId="3" borderId="7" xfId="0" applyFill="1" applyBorder="1"/>
    <xf numFmtId="0" fontId="2" fillId="3" borderId="8" xfId="0" applyFont="1" applyFill="1" applyBorder="1"/>
    <xf numFmtId="3" fontId="0" fillId="0" borderId="1" xfId="0" applyNumberFormat="1" applyBorder="1"/>
    <xf numFmtId="3" fontId="0" fillId="0" borderId="8" xfId="0" applyNumberFormat="1" applyBorder="1"/>
    <xf numFmtId="0" fontId="0" fillId="0" borderId="9" xfId="0" applyBorder="1"/>
    <xf numFmtId="3" fontId="0" fillId="0" borderId="9" xfId="0" applyNumberFormat="1" applyBorder="1"/>
    <xf numFmtId="3" fontId="0" fillId="0" borderId="10" xfId="0" applyNumberFormat="1" applyBorder="1"/>
    <xf numFmtId="3" fontId="0" fillId="0" borderId="11" xfId="0" applyNumberFormat="1" applyBorder="1"/>
    <xf numFmtId="0" fontId="0" fillId="0" borderId="11" xfId="0" applyBorder="1"/>
    <xf numFmtId="0" fontId="0" fillId="3" borderId="5" xfId="0" applyFill="1" applyBorder="1"/>
    <xf numFmtId="0" fontId="0" fillId="3" borderId="6" xfId="0" applyFill="1" applyBorder="1"/>
    <xf numFmtId="164" fontId="0" fillId="0" borderId="12" xfId="0" applyNumberForma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D15" sqref="D15"/>
    </sheetView>
  </sheetViews>
  <sheetFormatPr defaultRowHeight="14.4" x14ac:dyDescent="0.3"/>
  <cols>
    <col min="1" max="1" width="29.33203125" bestFit="1" customWidth="1"/>
    <col min="2" max="2" width="17.6640625" customWidth="1"/>
    <col min="3" max="3" width="23.6640625" customWidth="1"/>
    <col min="4" max="4" width="12.109375" customWidth="1"/>
    <col min="5" max="5" width="11.88671875" customWidth="1"/>
    <col min="6" max="6" width="11.5546875" customWidth="1"/>
    <col min="7" max="7" width="16" customWidth="1"/>
    <col min="8" max="8" width="4.5546875" customWidth="1"/>
  </cols>
  <sheetData>
    <row r="1" spans="1:8" x14ac:dyDescent="0.3">
      <c r="A1" s="1" t="s">
        <v>0</v>
      </c>
    </row>
    <row r="2" spans="1:8" x14ac:dyDescent="0.3">
      <c r="A2" s="6"/>
      <c r="B2" s="4" t="s">
        <v>2</v>
      </c>
      <c r="C2" s="15" t="s">
        <v>5</v>
      </c>
      <c r="D2" s="18" t="s">
        <v>6</v>
      </c>
      <c r="E2" s="19"/>
      <c r="F2" s="19"/>
      <c r="G2" s="20"/>
    </row>
    <row r="3" spans="1:8" x14ac:dyDescent="0.3">
      <c r="A3" s="7" t="s">
        <v>1</v>
      </c>
      <c r="B3" s="5"/>
      <c r="C3" s="16" t="s">
        <v>24</v>
      </c>
      <c r="D3" s="3" t="s">
        <v>7</v>
      </c>
      <c r="E3" s="3" t="s">
        <v>8</v>
      </c>
      <c r="F3" s="3" t="s">
        <v>9</v>
      </c>
      <c r="G3" s="3" t="s">
        <v>10</v>
      </c>
    </row>
    <row r="4" spans="1:8" x14ac:dyDescent="0.3">
      <c r="A4" t="s">
        <v>4</v>
      </c>
      <c r="C4" s="2"/>
      <c r="D4" s="8">
        <v>200000</v>
      </c>
      <c r="E4" s="8"/>
      <c r="F4" s="8"/>
      <c r="G4" s="8"/>
      <c r="H4" t="s">
        <v>27</v>
      </c>
    </row>
    <row r="5" spans="1:8" ht="15" thickBot="1" x14ac:dyDescent="0.35">
      <c r="A5" s="10" t="s">
        <v>3</v>
      </c>
      <c r="B5" s="10"/>
      <c r="C5" s="11"/>
      <c r="D5" s="12"/>
      <c r="E5" s="12">
        <v>150000</v>
      </c>
      <c r="F5" s="12">
        <v>100000</v>
      </c>
      <c r="G5" s="12"/>
      <c r="H5" t="s">
        <v>27</v>
      </c>
    </row>
    <row r="6" spans="1:8" x14ac:dyDescent="0.3">
      <c r="A6" t="s">
        <v>11</v>
      </c>
      <c r="B6" s="2">
        <v>75000</v>
      </c>
      <c r="C6" s="2" t="s">
        <v>18</v>
      </c>
      <c r="D6" s="9">
        <v>15000</v>
      </c>
      <c r="E6" s="9"/>
      <c r="F6" s="9"/>
      <c r="G6" s="9">
        <v>60000</v>
      </c>
      <c r="H6" t="s">
        <v>28</v>
      </c>
    </row>
    <row r="7" spans="1:8" x14ac:dyDescent="0.3">
      <c r="A7" t="s">
        <v>16</v>
      </c>
      <c r="B7" s="2">
        <v>260000</v>
      </c>
      <c r="C7" s="2" t="s">
        <v>19</v>
      </c>
      <c r="D7" s="8">
        <v>12000</v>
      </c>
      <c r="E7" s="8">
        <v>120000</v>
      </c>
      <c r="F7" s="8">
        <v>80000</v>
      </c>
      <c r="G7" s="8">
        <v>48000</v>
      </c>
      <c r="H7" t="s">
        <v>28</v>
      </c>
    </row>
    <row r="8" spans="1:8" x14ac:dyDescent="0.3">
      <c r="A8" t="s">
        <v>12</v>
      </c>
      <c r="B8" s="2">
        <v>120000</v>
      </c>
      <c r="C8" s="2" t="s">
        <v>18</v>
      </c>
      <c r="D8" s="8"/>
      <c r="E8" s="8">
        <v>60000</v>
      </c>
      <c r="F8" s="8">
        <v>36000</v>
      </c>
      <c r="G8" s="8">
        <v>24000</v>
      </c>
      <c r="H8" t="s">
        <v>28</v>
      </c>
    </row>
    <row r="9" spans="1:8" x14ac:dyDescent="0.3">
      <c r="A9" t="s">
        <v>13</v>
      </c>
      <c r="B9" s="2">
        <v>45000</v>
      </c>
      <c r="C9" s="2" t="s">
        <v>20</v>
      </c>
      <c r="D9" s="8">
        <v>3750</v>
      </c>
      <c r="E9" s="8">
        <v>15375</v>
      </c>
      <c r="F9" s="8">
        <v>24000</v>
      </c>
      <c r="G9" s="8">
        <v>1875</v>
      </c>
      <c r="H9" t="s">
        <v>28</v>
      </c>
    </row>
    <row r="10" spans="1:8" x14ac:dyDescent="0.3">
      <c r="A10" t="s">
        <v>17</v>
      </c>
      <c r="B10" s="2">
        <v>135070</v>
      </c>
      <c r="C10" s="2" t="s">
        <v>20</v>
      </c>
      <c r="D10" s="8">
        <v>11300</v>
      </c>
      <c r="E10" s="8">
        <v>46100</v>
      </c>
      <c r="F10" s="8">
        <v>72000</v>
      </c>
      <c r="G10" s="8">
        <v>5670</v>
      </c>
      <c r="H10" t="s">
        <v>28</v>
      </c>
    </row>
    <row r="11" spans="1:8" x14ac:dyDescent="0.3">
      <c r="A11" t="s">
        <v>14</v>
      </c>
      <c r="B11" s="2">
        <v>90000</v>
      </c>
      <c r="C11" s="2" t="s">
        <v>21</v>
      </c>
      <c r="D11" s="8">
        <v>9000</v>
      </c>
      <c r="E11" s="8">
        <v>36000</v>
      </c>
      <c r="F11" s="8">
        <v>27000</v>
      </c>
      <c r="G11" s="8">
        <v>18000</v>
      </c>
      <c r="H11" t="s">
        <v>28</v>
      </c>
    </row>
    <row r="12" spans="1:8" x14ac:dyDescent="0.3">
      <c r="A12" s="14" t="s">
        <v>15</v>
      </c>
      <c r="B12" s="13">
        <v>225000</v>
      </c>
      <c r="C12" s="13" t="s">
        <v>22</v>
      </c>
      <c r="D12" s="8">
        <v>9000</v>
      </c>
      <c r="E12" s="8">
        <v>112500</v>
      </c>
      <c r="F12" s="8">
        <v>81000</v>
      </c>
      <c r="G12" s="8">
        <v>22500</v>
      </c>
      <c r="H12" t="s">
        <v>28</v>
      </c>
    </row>
    <row r="13" spans="1:8" x14ac:dyDescent="0.3">
      <c r="A13" t="s">
        <v>23</v>
      </c>
      <c r="B13" s="2">
        <f>SUM(B6:B12)</f>
        <v>950070</v>
      </c>
      <c r="C13" s="2"/>
      <c r="D13" s="2">
        <f>SUM(D6:D12)</f>
        <v>60050</v>
      </c>
      <c r="E13" s="2">
        <f t="shared" ref="E13:G13" si="0">SUM(E6:E12)</f>
        <v>389975</v>
      </c>
      <c r="F13" s="2">
        <f t="shared" si="0"/>
        <v>320000</v>
      </c>
      <c r="G13" s="2">
        <f t="shared" si="0"/>
        <v>180045</v>
      </c>
    </row>
    <row r="14" spans="1:8" x14ac:dyDescent="0.3">
      <c r="A14" t="s">
        <v>25</v>
      </c>
      <c r="D14" s="13">
        <f>D4</f>
        <v>200000</v>
      </c>
      <c r="E14" s="13">
        <f>E5</f>
        <v>150000</v>
      </c>
      <c r="F14" s="13">
        <f>F5</f>
        <v>100000</v>
      </c>
      <c r="G14" s="13">
        <f>SUM(D13:F14)</f>
        <v>1220025</v>
      </c>
    </row>
    <row r="15" spans="1:8" ht="15" thickBot="1" x14ac:dyDescent="0.35">
      <c r="A15" t="s">
        <v>26</v>
      </c>
      <c r="D15" s="17">
        <f>D13/D14</f>
        <v>0.30025000000000002</v>
      </c>
      <c r="E15" s="17">
        <f t="shared" ref="E15:G15" si="1">E13/E14</f>
        <v>2.5998333333333332</v>
      </c>
      <c r="F15" s="17">
        <f t="shared" si="1"/>
        <v>3.2</v>
      </c>
      <c r="G15" s="17">
        <f t="shared" si="1"/>
        <v>0.14757484477777094</v>
      </c>
    </row>
    <row r="16" spans="1:8" ht="15" thickTop="1" x14ac:dyDescent="0.3"/>
  </sheetData>
  <mergeCells count="1">
    <mergeCell ref="D2:G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Hinterholzer Stefan</cp:lastModifiedBy>
  <dcterms:created xsi:type="dcterms:W3CDTF">2015-03-11T08:02:06Z</dcterms:created>
  <dcterms:modified xsi:type="dcterms:W3CDTF">2024-02-19T08:45:08Z</dcterms:modified>
</cp:coreProperties>
</file>
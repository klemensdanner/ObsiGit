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<sst xmlns="http://schemas.openxmlformats.org/spreadsheetml/2006/main" count="12" uniqueCount="12">
  <si>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BWL2T2</t>
  </si>
  <si>
    <t xml:space="preserve">UE02 Musterlösung</t>
  </si>
  <si>
    <t>Fertigungsmaterial</t>
  </si>
  <si>
    <t>Fertigungslöhne</t>
  </si>
  <si>
    <t>Gemeinkosten</t>
  </si>
  <si>
    <t>GK-Zuschlagssatz:</t>
  </si>
  <si>
    <t xml:space="preserve">(Gemeinkosten * 100) / Summe der Einzelkosten</t>
  </si>
  <si>
    <t>a)</t>
  </si>
  <si>
    <t xml:space="preserve">b) Anwendung des Gemeinkostensatzes</t>
  </si>
  <si>
    <t xml:space="preserve">Summe der EK</t>
  </si>
  <si>
    <t xml:space="preserve">+ Gemeinkosten</t>
  </si>
  <si>
    <t>Selbstkosten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</si>
</sst>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&quot;€&quot;\ * #,##0.00_-;\-&quot;€&quot;\ * #,##0.00_-;_-&quot;€&quot;\ * &quot;-&quot;??_-;_-@_-"/>
    <numFmt numFmtId="165" formatCode="_-&quot;€&quot;\ * #,##0_-;\-&quot;€&quot;\ * #,##0_-;_-&quot;€&quot;\ * &quot;-&quot;??_-;_-@_-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13">
    <xf fontId="0" fillId="0" borderId="0" numFmtId="0" xfId="0"/>
    <xf fontId="0" fillId="2" borderId="0" numFmtId="0" xfId="0" applyFill="1"/>
    <xf fontId="0" fillId="0" borderId="0" numFmtId="165" xfId="1" applyNumberFormat="1"/>
    <xf fontId="0" fillId="0" borderId="0" numFmtId="10" xfId="2" applyNumberFormat="1"/>
    <xf fontId="0" fillId="0" borderId="0" numFmtId="3" xfId="0" applyNumberFormat="1"/>
    <xf fontId="0" fillId="0" borderId="1" numFmtId="0" xfId="0" applyBorder="1"/>
    <xf fontId="0" fillId="0" borderId="1" numFmtId="3" xfId="0" applyNumberFormat="1" applyBorder="1"/>
    <xf fontId="0" fillId="0" borderId="1" numFmtId="0" xfId="0" applyBorder="1" quotePrefix="1"/>
    <xf fontId="0" fillId="0" borderId="1" numFmtId="10" xfId="2" applyNumberFormat="1" applyBorder="1"/>
    <xf fontId="0" fillId="0" borderId="2" numFmtId="3" xfId="0" applyNumberFormat="1" applyBorder="1"/>
    <xf fontId="0" fillId="0" borderId="0" numFmtId="0" xfId="0">
      <protection hidden="0" locked="1"/>
    </xf>
    <xf fontId="0" fillId="0" borderId="0" numFmtId="165" xfId="0" applyNumberFormat="1"/>
    <xf fontId="0" fillId="0" borderId="0" numFmtId="1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54" workbookViewId="0">
      <selection activeCell="F7" activeCellId="0" sqref="F7"/>
    </sheetView>
  </sheetViews>
  <sheetFormatPr defaultRowHeight="14.25"/>
  <cols>
    <col customWidth="1" min="2" max="2" width="22.109375"/>
    <col bestFit="1" customWidth="1" min="3" max="3" width="16.6640625"/>
  </cols>
  <sheetData>
    <row r="1">
      <c r="A1" s="1" t="s">
        <v>0</v>
      </c>
      <c r="B1" s="1" t="s">
        <v>1</v>
      </c>
    </row>
    <row r="4">
      <c r="B4" t="s">
        <v>2</v>
      </c>
      <c r="C4" s="2">
        <v>630000</v>
      </c>
    </row>
    <row r="5">
      <c r="B5" t="s">
        <v>3</v>
      </c>
      <c r="C5" s="2">
        <v>760000</v>
      </c>
    </row>
    <row r="6">
      <c r="B6" t="s">
        <v>4</v>
      </c>
      <c r="C6" s="2">
        <v>1240000</v>
      </c>
    </row>
    <row r="8">
      <c r="B8" t="s">
        <v>5</v>
      </c>
      <c r="C8" t="s">
        <v>6</v>
      </c>
    </row>
    <row r="9">
      <c r="B9" t="s">
        <v>7</v>
      </c>
      <c r="C9" s="3">
        <f>C6/SUM(C4:C5)</f>
        <v>0.8920863309352518</v>
      </c>
    </row>
    <row r="11">
      <c r="B11" t="s">
        <v>8</v>
      </c>
    </row>
    <row r="13">
      <c r="B13" t="s">
        <v>2</v>
      </c>
      <c r="D13" s="4">
        <v>372</v>
      </c>
    </row>
    <row r="14">
      <c r="B14" s="5" t="s">
        <v>3</v>
      </c>
      <c r="C14" s="5"/>
      <c r="D14" s="6">
        <v>536</v>
      </c>
    </row>
    <row r="15">
      <c r="B15" t="s">
        <v>9</v>
      </c>
      <c r="D15" s="4">
        <f>SUM(D13:D14)</f>
        <v>908</v>
      </c>
    </row>
    <row r="16">
      <c r="B16" s="7" t="s">
        <v>10</v>
      </c>
      <c r="C16" s="8">
        <f>C9</f>
        <v>0.8920863309352518</v>
      </c>
      <c r="D16" s="6">
        <f>D15*C16</f>
        <v>810.01438848920861</v>
      </c>
    </row>
    <row r="17" ht="15">
      <c r="B17" t="s">
        <v>11</v>
      </c>
      <c r="D17" s="9">
        <f>SUM(D15:D16)</f>
        <v>1718.0143884892086</v>
      </c>
    </row>
    <row r="18" ht="15"/>
    <row r="36" ht="14.25">
      <c r="B36" s="10" t="s">
        <v>2</v>
      </c>
      <c r="C36" s="2">
        <v>630000</v>
      </c>
    </row>
    <row r="37" ht="14.25">
      <c r="B37" s="10" t="s">
        <v>3</v>
      </c>
      <c r="C37" s="2">
        <v>760000</v>
      </c>
    </row>
    <row r="38" ht="14.25">
      <c r="B38" s="10" t="s">
        <v>4</v>
      </c>
      <c r="C38" s="2">
        <v>1240000</v>
      </c>
    </row>
    <row r="41" ht="14.25">
      <c r="B41" s="10" t="s">
        <v>5</v>
      </c>
      <c r="C41">
        <f>C38/(C36+C37)*100</f>
        <v>89.208633093525179</v>
      </c>
    </row>
    <row r="43" ht="14.25">
      <c r="C43" s="11"/>
    </row>
    <row r="44" ht="14.25">
      <c r="C44" s="12">
        <f>SUM(C36:C38)/SUM(C36:C37)-1</f>
        <v>0.8920863309352518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l20016</dc:creator>
  <cp:revision>1</cp:revision>
  <dcterms:created xsi:type="dcterms:W3CDTF">2011-03-24T08:39:53Z</dcterms:created>
  <dcterms:modified xsi:type="dcterms:W3CDTF">2026-06-27T17:49:47Z</dcterms:modified>
</cp:coreProperties>
</file>
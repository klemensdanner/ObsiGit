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<sst xmlns="http://schemas.openxmlformats.org/spreadsheetml/2006/main" count="54" uniqueCount="54">
  <si>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BWL2T2</t>
  </si>
  <si>
    <t xml:space="preserve">Uebung 05 - Kalkulation eines Tages- bzw. Stundensatzes für eine/n IT-MitarbeiterIn </t>
  </si>
  <si>
    <t xml:space="preserve">a) Ermittlung der Jahreskosten</t>
  </si>
  <si>
    <t xml:space="preserve">pro Monat</t>
  </si>
  <si>
    <t>Bruttogehalt</t>
  </si>
  <si>
    <t xml:space="preserve">+ UG und WR</t>
  </si>
  <si>
    <t>1/6</t>
  </si>
  <si>
    <t xml:space="preserve">Monatsentgelt (durchschnittlich)</t>
  </si>
  <si>
    <t xml:space="preserve">+ Gehaltsnebenkosten (SV-DGA, DB, DZ, KS, ..)</t>
  </si>
  <si>
    <t xml:space="preserve">Kosten des Einkommens je Monat ("BruttoBrutto")</t>
  </si>
  <si>
    <t>[0]</t>
  </si>
  <si>
    <t xml:space="preserve">+ Fortbildungskosten </t>
  </si>
  <si>
    <t xml:space="preserve">pro Jahr</t>
  </si>
  <si>
    <t xml:space="preserve">+ Reise- u. Fahrspesen (nicht an Kd. verrechenb.)</t>
  </si>
  <si>
    <t xml:space="preserve">Direkte, mitarbeiterbezogene Kosten</t>
  </si>
  <si>
    <t>[1]</t>
  </si>
  <si>
    <t xml:space="preserve">sonstige Kosten:</t>
  </si>
  <si>
    <t xml:space="preserve">+ Kalkulatorische Miete</t>
  </si>
  <si>
    <t xml:space="preserve">+ Kalkulatorische Abschreibung</t>
  </si>
  <si>
    <t xml:space="preserve">+ sonstige laufende Kosten (Verwaltung, Vertrieb)</t>
  </si>
  <si>
    <t xml:space="preserve">Summe sonstige Kosten für Unternehmen</t>
  </si>
  <si>
    <t>[2]</t>
  </si>
  <si>
    <t xml:space="preserve">Monatskosten gesamt [1] + [2]</t>
  </si>
  <si>
    <t>[3]</t>
  </si>
  <si>
    <t xml:space="preserve">(Mitarbeiterbezogene + sonstige Kosten f. Unternehmen)</t>
  </si>
  <si>
    <t xml:space="preserve">+ kalk. Wagnis (8% von [3])</t>
  </si>
  <si>
    <t xml:space="preserve">Kalk. Monatliche Kosten eines Mitarbeiters</t>
  </si>
  <si>
    <t xml:space="preserve">Bezogen auf ein Jahr </t>
  </si>
  <si>
    <t xml:space="preserve">a) Jahreskosten/Mitarbeiter</t>
  </si>
  <si>
    <t>[4]</t>
  </si>
  <si>
    <t xml:space="preserve">b) Ermittlung der Stunden</t>
  </si>
  <si>
    <t>Stunden/Tag</t>
  </si>
  <si>
    <t>Tage</t>
  </si>
  <si>
    <t>Wochen</t>
  </si>
  <si>
    <t>Stunden</t>
  </si>
  <si>
    <t xml:space="preserve">Durchschnittliche Arbeitsstunden</t>
  </si>
  <si>
    <t xml:space="preserve">- Urlaub</t>
  </si>
  <si>
    <t xml:space="preserve">- Krankheitstage</t>
  </si>
  <si>
    <t xml:space="preserve">- sonstige Dienstverhinderung</t>
  </si>
  <si>
    <t xml:space="preserve">Summe der verfügbaren Stunden</t>
  </si>
  <si>
    <t xml:space="preserve">- zusätzlicher nicht verrechenbarer Zeitaufwand</t>
  </si>
  <si>
    <t xml:space="preserve">Verrechenbare Stunden</t>
  </si>
  <si>
    <t xml:space="preserve">b) Anzahl verrechenbare Stunden</t>
  </si>
  <si>
    <t>[5]</t>
  </si>
  <si>
    <t xml:space="preserve">c) Das sind in %</t>
  </si>
  <si>
    <t xml:space="preserve">c) Ermittlung des Tag- bzw. Stundensatzes</t>
  </si>
  <si>
    <t xml:space="preserve">Das sind in Tagen </t>
  </si>
  <si>
    <t xml:space="preserve">Kalkulatorische Jahreskosten [4]</t>
  </si>
  <si>
    <t xml:space="preserve">: verrechenbare Stunden bei Vollauslastung [5]</t>
  </si>
  <si>
    <t xml:space="preserve">Selbstkosten je Stunde (zu Vollkosten)</t>
  </si>
  <si>
    <t>d)</t>
  </si>
  <si>
    <t xml:space="preserve">Selbstkosten je Tag (zu Vollkosten)</t>
  </si>
  <si>
    <t xml:space="preserve">Selbstkosten je Stunden (zu Teilkosten d.s. [1])</t>
  </si>
  <si>
    <t xml:space="preserve">Selbstkosten je Tag (zu Teilkosten d.s. [1])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</si>
</sst>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€&quot;\ #,##0.00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indexed="5"/>
        <bgColor indexed="5"/>
      </patternFill>
    </fill>
    <fill>
      <patternFill patternType="solid">
        <fgColor theme="0" tint="-0.049989318521683403"/>
      </patternFill>
    </fill>
    <fill>
      <patternFill patternType="solid">
        <fgColor theme="0" tint="-0.14999847407452621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28">
    <xf fontId="0" fillId="0" borderId="0" numFmtId="0" xfId="0"/>
    <xf fontId="0" fillId="0" borderId="0" numFmtId="164" xfId="0" applyNumberFormat="1"/>
    <xf fontId="0" fillId="0" borderId="0" numFmtId="0" xfId="0" applyAlignment="1">
      <alignment horizontal="center"/>
    </xf>
    <xf fontId="1" fillId="0" borderId="0" numFmtId="0" xfId="0" applyFont="1"/>
    <xf fontId="2" fillId="2" borderId="0" numFmtId="0" xfId="0" applyFont="1" applyFill="1"/>
    <xf fontId="0" fillId="2" borderId="0" numFmtId="0" xfId="0" applyFill="1"/>
    <xf fontId="0" fillId="2" borderId="0" numFmtId="164" xfId="0" applyNumberFormat="1" applyFill="1"/>
    <xf fontId="0" fillId="3" borderId="0" numFmtId="164" xfId="0" applyNumberFormat="1" applyFill="1"/>
    <xf fontId="0" fillId="4" borderId="0" numFmtId="164" xfId="0" applyNumberFormat="1" applyFill="1"/>
    <xf fontId="0" fillId="0" borderId="1" numFmtId="0" xfId="0" applyBorder="1" quotePrefix="1"/>
    <xf fontId="0" fillId="0" borderId="1" numFmtId="0" xfId="0" applyBorder="1" applyAlignment="1" quotePrefix="1">
      <alignment horizontal="center"/>
    </xf>
    <xf fontId="0" fillId="0" borderId="1" numFmtId="164" xfId="0" applyNumberFormat="1" applyBorder="1" quotePrefix="1"/>
    <xf fontId="0" fillId="0" borderId="1" numFmtId="164" xfId="0" applyNumberFormat="1" applyBorder="1"/>
    <xf fontId="0" fillId="4" borderId="1" numFmtId="164" xfId="0" applyNumberFormat="1" applyFill="1" applyBorder="1"/>
    <xf fontId="0" fillId="0" borderId="1" numFmtId="9" xfId="0" applyNumberFormat="1" applyBorder="1"/>
    <xf fontId="0" fillId="0" borderId="1" numFmtId="9" xfId="1" applyNumberFormat="1" applyBorder="1"/>
    <xf fontId="0" fillId="0" borderId="0" numFmtId="0" xfId="0" quotePrefix="1"/>
    <xf fontId="0" fillId="0" borderId="1" numFmtId="0" xfId="0" applyBorder="1"/>
    <xf fontId="0" fillId="5" borderId="0" numFmtId="164" xfId="0" applyNumberFormat="1" applyFill="1"/>
    <xf fontId="0" fillId="0" borderId="0" numFmtId="3" xfId="0" applyNumberFormat="1"/>
    <xf fontId="0" fillId="4" borderId="0" numFmtId="0" xfId="0" applyFill="1" quotePrefix="1"/>
    <xf fontId="0" fillId="4" borderId="0" numFmtId="0" xfId="0" applyFill="1"/>
    <xf fontId="0" fillId="4" borderId="1" numFmtId="0" xfId="0" applyFill="1" applyBorder="1" quotePrefix="1"/>
    <xf fontId="0" fillId="4" borderId="1" numFmtId="0" xfId="0" applyFill="1" applyBorder="1"/>
    <xf fontId="0" fillId="4" borderId="0" numFmtId="3" xfId="0" applyNumberFormat="1" applyFill="1"/>
    <xf fontId="0" fillId="4" borderId="0" numFmtId="10" xfId="0" applyNumberFormat="1" applyFill="1"/>
    <xf fontId="0" fillId="4" borderId="0" numFmtId="164" xfId="0" applyNumberFormat="1" applyFill="1"/>
    <xf fontId="0" fillId="4" borderId="1" numFmtId="3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RowHeight="14.25"/>
  <cols>
    <col bestFit="1" customWidth="1" min="1" max="1" width="53.140625"/>
    <col customWidth="1" min="2" max="2" width="18.7109375"/>
    <col customWidth="1" min="3" max="3" width="12.5703125"/>
    <col customWidth="1" min="4" max="4" style="1" width="15.140625"/>
    <col customWidth="1" min="5" max="5" style="1" width="13.140625"/>
    <col customWidth="1" min="6" max="6" width="12.85546875"/>
    <col min="7" max="7" style="2" width="9.140625"/>
    <col customWidth="1" min="8" max="8" width="11.85546875"/>
  </cols>
  <sheetData>
    <row r="1">
      <c r="A1" s="3" t="s">
        <v>0</v>
      </c>
    </row>
    <row r="2">
      <c r="A2" s="4" t="s">
        <v>1</v>
      </c>
      <c r="B2" s="4"/>
      <c r="C2" s="5"/>
      <c r="D2" s="6"/>
    </row>
    <row r="4">
      <c r="A4" t="s">
        <v>2</v>
      </c>
    </row>
    <row r="5">
      <c r="F5" s="7" t="s">
        <v>3</v>
      </c>
    </row>
    <row r="6">
      <c r="A6" t="s">
        <v>4</v>
      </c>
      <c r="F6" s="8">
        <v>3500</v>
      </c>
    </row>
    <row r="7">
      <c r="A7" s="9" t="s">
        <v>5</v>
      </c>
      <c r="B7" s="9"/>
      <c r="C7" s="10" t="s">
        <v>6</v>
      </c>
      <c r="D7" s="11"/>
      <c r="E7" s="12"/>
      <c r="F7" s="13">
        <f>F6/6</f>
        <v>583.33333333333337</v>
      </c>
    </row>
    <row r="8">
      <c r="A8" t="s">
        <v>7</v>
      </c>
      <c r="F8" s="8">
        <f>SUM(F6:F7)</f>
        <v>4083.3333333333335</v>
      </c>
    </row>
    <row r="9">
      <c r="A9" s="9" t="s">
        <v>8</v>
      </c>
      <c r="B9" s="9"/>
      <c r="C9" s="14">
        <v>0.29999999999999999</v>
      </c>
      <c r="D9" s="15"/>
      <c r="E9" s="12"/>
      <c r="F9" s="13">
        <f>F8*(C9)</f>
        <v>1225</v>
      </c>
    </row>
    <row r="10">
      <c r="A10" t="s">
        <v>9</v>
      </c>
      <c r="F10" s="8">
        <f>SUM(F8:F9)</f>
        <v>5308.3333333333339</v>
      </c>
      <c r="G10" s="2" t="s">
        <v>10</v>
      </c>
      <c r="H10" s="1"/>
    </row>
    <row r="11">
      <c r="A11" s="16" t="s">
        <v>11</v>
      </c>
      <c r="B11" s="16"/>
      <c r="C11" t="s">
        <v>12</v>
      </c>
      <c r="D11" s="8">
        <v>1200</v>
      </c>
      <c r="F11" s="8">
        <f t="shared" ref="F11:F12" si="0">D11/12</f>
        <v>100</v>
      </c>
    </row>
    <row r="12">
      <c r="A12" s="9" t="s">
        <v>13</v>
      </c>
      <c r="B12" s="9"/>
      <c r="C12" s="17" t="s">
        <v>12</v>
      </c>
      <c r="D12" s="13">
        <v>1800</v>
      </c>
      <c r="E12" s="12"/>
      <c r="F12" s="13">
        <f t="shared" si="0"/>
        <v>150</v>
      </c>
    </row>
    <row r="13">
      <c r="A13" t="s">
        <v>14</v>
      </c>
      <c r="F13" s="8">
        <f>SUM(F10:F12)</f>
        <v>5558.3333333333339</v>
      </c>
      <c r="G13" s="2" t="s">
        <v>15</v>
      </c>
    </row>
    <row r="14">
      <c r="A14" t="s">
        <v>16</v>
      </c>
      <c r="E14" s="1" t="s">
        <v>3</v>
      </c>
    </row>
    <row r="15">
      <c r="A15" s="16" t="s">
        <v>17</v>
      </c>
      <c r="B15" s="16"/>
      <c r="C15" t="s">
        <v>12</v>
      </c>
      <c r="D15" s="8">
        <f>200*12</f>
        <v>2400</v>
      </c>
      <c r="E15" s="1"/>
      <c r="F15" s="8">
        <v>200</v>
      </c>
    </row>
    <row r="16">
      <c r="A16" s="16" t="s">
        <v>18</v>
      </c>
      <c r="B16" s="16"/>
      <c r="C16" t="s">
        <v>12</v>
      </c>
      <c r="D16" s="8">
        <v>1200</v>
      </c>
      <c r="E16" s="8"/>
      <c r="F16">
        <f t="shared" ref="F16:F17" si="1">D16/12</f>
        <v>100</v>
      </c>
    </row>
    <row r="17">
      <c r="A17" s="9" t="s">
        <v>19</v>
      </c>
      <c r="B17" s="9"/>
      <c r="C17" s="17" t="s">
        <v>12</v>
      </c>
      <c r="D17" s="13">
        <v>2400</v>
      </c>
      <c r="E17" s="13"/>
      <c r="F17" s="12">
        <f t="shared" si="1"/>
        <v>200</v>
      </c>
    </row>
    <row r="18">
      <c r="A18" t="s">
        <v>20</v>
      </c>
      <c r="F18" s="8">
        <f>SUM(F15:F17)</f>
        <v>500</v>
      </c>
      <c r="G18" s="2" t="s">
        <v>21</v>
      </c>
    </row>
    <row r="20">
      <c r="A20" t="s">
        <v>22</v>
      </c>
      <c r="F20" s="8">
        <f>F13+F18</f>
        <v>6058.3333333333339</v>
      </c>
      <c r="G20" s="2" t="s">
        <v>23</v>
      </c>
    </row>
    <row r="21">
      <c r="A21" t="s">
        <v>24</v>
      </c>
      <c r="F21" s="1"/>
    </row>
    <row r="22">
      <c r="A22" s="9" t="s">
        <v>25</v>
      </c>
      <c r="B22" s="9"/>
      <c r="C22" s="17"/>
      <c r="D22" s="15"/>
      <c r="E22" s="12"/>
      <c r="F22" s="13">
        <f>F20*0.08</f>
        <v>484.66666666666674</v>
      </c>
    </row>
    <row r="23">
      <c r="A23" t="s">
        <v>26</v>
      </c>
      <c r="F23" s="8">
        <f>F20+F22</f>
        <v>6543.0000000000009</v>
      </c>
    </row>
    <row r="24">
      <c r="A24" t="s">
        <v>27</v>
      </c>
      <c r="D24" s="1" t="s">
        <v>28</v>
      </c>
      <c r="F24" s="18">
        <f>F23*12</f>
        <v>78516.000000000015</v>
      </c>
      <c r="G24" s="2" t="s">
        <v>29</v>
      </c>
    </row>
    <row r="26">
      <c r="A26" t="s">
        <v>30</v>
      </c>
    </row>
    <row r="27">
      <c r="B27" t="s">
        <v>31</v>
      </c>
      <c r="C27" t="s">
        <v>32</v>
      </c>
      <c r="D27" s="1" t="s">
        <v>33</v>
      </c>
      <c r="F27" t="s">
        <v>34</v>
      </c>
    </row>
    <row r="28">
      <c r="D28"/>
      <c r="F28" s="19"/>
    </row>
    <row r="29">
      <c r="A29" s="16" t="s">
        <v>35</v>
      </c>
      <c r="B29" s="20">
        <v>8</v>
      </c>
      <c r="C29" s="21">
        <f>52*5</f>
        <v>260</v>
      </c>
      <c r="D29" s="21">
        <v>52</v>
      </c>
      <c r="F29" s="21">
        <f>B29*C29</f>
        <v>2080</v>
      </c>
    </row>
    <row r="30">
      <c r="A30" s="16" t="s">
        <v>36</v>
      </c>
      <c r="B30" s="20">
        <v>8</v>
      </c>
      <c r="C30" s="21">
        <v>25</v>
      </c>
      <c r="D30" s="21">
        <v>5</v>
      </c>
      <c r="F30" s="21">
        <f>B30*C30</f>
        <v>200</v>
      </c>
    </row>
    <row r="31">
      <c r="A31" s="16" t="s">
        <v>37</v>
      </c>
      <c r="B31" s="20">
        <v>8</v>
      </c>
      <c r="C31" s="21">
        <v>8</v>
      </c>
      <c r="D31" s="21">
        <f>C31/5</f>
        <v>1.6000000000000001</v>
      </c>
      <c r="F31" s="21">
        <f>B31*C31</f>
        <v>64</v>
      </c>
    </row>
    <row r="32">
      <c r="A32" s="9" t="s">
        <v>38</v>
      </c>
      <c r="B32" s="22">
        <v>8</v>
      </c>
      <c r="C32" s="23">
        <v>10</v>
      </c>
      <c r="D32" s="23">
        <v>2</v>
      </c>
      <c r="E32" s="12"/>
      <c r="F32" s="21">
        <f>B32*C32</f>
        <v>80</v>
      </c>
    </row>
    <row r="33">
      <c r="A33" t="s">
        <v>39</v>
      </c>
      <c r="F33" s="24">
        <f>F29-(F30+F31+F32)</f>
        <v>1736</v>
      </c>
    </row>
    <row r="34">
      <c r="A34" s="9" t="s">
        <v>40</v>
      </c>
      <c r="B34" s="9"/>
      <c r="C34" s="17"/>
      <c r="D34" s="12"/>
      <c r="E34" s="12"/>
      <c r="F34" s="23">
        <v>100</v>
      </c>
    </row>
    <row r="35">
      <c r="A35" t="s">
        <v>41</v>
      </c>
      <c r="C35" t="s">
        <v>42</v>
      </c>
      <c r="F35" s="24">
        <f>F33-F34</f>
        <v>1636</v>
      </c>
      <c r="G35" s="2" t="s">
        <v>43</v>
      </c>
    </row>
    <row r="37">
      <c r="C37" t="s">
        <v>44</v>
      </c>
      <c r="E37" s="25">
        <f>F35/F29</f>
        <v>0.78653846153846152</v>
      </c>
    </row>
    <row r="38">
      <c r="A38" t="s">
        <v>45</v>
      </c>
      <c r="C38" t="s">
        <v>46</v>
      </c>
      <c r="E38" s="21">
        <f>F35/8</f>
        <v>204.5</v>
      </c>
    </row>
    <row r="40">
      <c r="A40" t="s">
        <v>47</v>
      </c>
      <c r="F40" s="26">
        <f>F24</f>
        <v>78516.000000000015</v>
      </c>
    </row>
    <row r="41">
      <c r="A41" s="16" t="s">
        <v>48</v>
      </c>
      <c r="B41" s="16"/>
      <c r="F41" s="27">
        <f>F35</f>
        <v>1636</v>
      </c>
    </row>
    <row r="42">
      <c r="A42" t="s">
        <v>49</v>
      </c>
      <c r="E42" s="1" t="s">
        <v>50</v>
      </c>
      <c r="F42" s="8">
        <f>F40/F41</f>
        <v>47.992665036674822</v>
      </c>
    </row>
    <row r="43">
      <c r="A43" t="s">
        <v>51</v>
      </c>
      <c r="F43" s="8">
        <f>F42*8</f>
        <v>383.94132029339858</v>
      </c>
    </row>
    <row r="45">
      <c r="A45" t="s">
        <v>52</v>
      </c>
      <c r="E45" s="1" t="s">
        <v>50</v>
      </c>
      <c r="F45" s="8">
        <f>F10*12/F35</f>
        <v>38.936430317848412</v>
      </c>
    </row>
    <row r="46">
      <c r="A46" t="s">
        <v>53</v>
      </c>
      <c r="F46" s="8">
        <f>F45*8</f>
        <v>311.4914425427873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74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FH-Hagenberg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revision>2</cp:revision>
  <dcterms:created xsi:type="dcterms:W3CDTF">2015-03-31T09:15:41Z</dcterms:created>
  <dcterms:modified xsi:type="dcterms:W3CDTF">2026-05-03T14:34:25Z</dcterms:modified>
</cp:coreProperties>
</file>
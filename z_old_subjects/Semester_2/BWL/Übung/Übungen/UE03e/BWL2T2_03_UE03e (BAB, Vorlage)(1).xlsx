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2"/>
    <sheet name="Tabelle2" sheetId="2" state="visible" r:id="rId3"/>
    <sheet name="Tabelle3" sheetId="3" state="visible" r:id="rId4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tc={00D50032-00EB-43C9-9E42-00B700F00064}</author>
    <author>tc={00F20045-0010-482A-A558-008D00020057}</author>
  </authors>
  <commentList>
    <comment ref="E17" authorId="0" xr:uid="{00D50032-00EB-43C9-9E42-00B700F00064}">
      <text>
        <r>
          <rPr>
            <b/>
            <sz val="9"/>
            <rFont val="Tahoma"/>
          </rPr>
          <t>hinterho:</t>
        </r>
        <r>
          <rPr>
            <sz val="9"/>
            <rFont val="Tahoma"/>
          </rPr>
          <t xml:space="preserve">
Herstellkosten (HSK) = Materialeinzelkosten+Materialgemeinkosten+Fertigungseinzelkosten+Fertigungsgemeinkosten
</t>
        </r>
      </text>
    </comment>
    <comment ref="F17" authorId="1" xr:uid="{00F20045-0010-482A-A558-008D00020057}">
      <text>
        <r>
          <rPr>
            <b/>
            <sz val="9"/>
            <rFont val="Tahoma"/>
          </rPr>
          <t>hinterho:</t>
        </r>
        <r>
          <rPr>
            <sz val="9"/>
            <rFont val="Tahoma"/>
          </rPr>
          <t xml:space="preserve">
Herstellkosten (HSK) = Materialeinzelkosten+Materialgemeinkosten+Fertigungseinzelkosten+Fertigungsgemeinkosten
</t>
        </r>
      </text>
    </comment>
  </commentList>
</comments>
</file>

<file path=xl/sharedStrings.xml><?xml version="1.0" encoding="utf-8"?>
<sst xmlns="http://schemas.openxmlformats.org/spreadsheetml/2006/main" count="39" uniqueCount="39">
  <si>
    <t xml:space="preserve">BWL2T2 </t>
  </si>
  <si>
    <t xml:space="preserve">UE03e (BAB, Musterlösung)</t>
  </si>
  <si>
    <t xml:space="preserve">Kostenstellenrechnung (Wo sind die Kosten angefallen ?)</t>
  </si>
  <si>
    <t>Kostenart</t>
  </si>
  <si>
    <t>Betrag</t>
  </si>
  <si>
    <t>Kostenstellen</t>
  </si>
  <si>
    <t xml:space="preserve">Betriebsabrechnungsbogen (BAB)</t>
  </si>
  <si>
    <t>Material</t>
  </si>
  <si>
    <t>Fertigung</t>
  </si>
  <si>
    <t>Verwaltung</t>
  </si>
  <si>
    <t>Vertrieb</t>
  </si>
  <si>
    <t>Fertigungsmaterial</t>
  </si>
  <si>
    <t>Einzelkosten</t>
  </si>
  <si>
    <t>Fertigungslöhne</t>
  </si>
  <si>
    <t xml:space="preserve">Miete Gebäude</t>
  </si>
  <si>
    <t>Gemeinkosten</t>
  </si>
  <si>
    <t xml:space="preserve">Energie </t>
  </si>
  <si>
    <t xml:space="preserve">Hilfsstoffe </t>
  </si>
  <si>
    <t xml:space="preserve">Kalk. Abschreibung</t>
  </si>
  <si>
    <t xml:space="preserve">Verwaltung Gehälter </t>
  </si>
  <si>
    <t xml:space="preserve">Werbung </t>
  </si>
  <si>
    <t>Gemeinkostensummen</t>
  </si>
  <si>
    <t>Zuschlagsbasen</t>
  </si>
  <si>
    <t>GK-Zuschlagssätze</t>
  </si>
  <si>
    <t>Kostenträgerrechnung</t>
  </si>
  <si>
    <r>
      <t xml:space="preserve">Kalkulation oder Kostenträgerrechnung (Wieviel kostet </t>
    </r>
    <r>
      <rPr>
        <b/>
        <sz val="10"/>
        <rFont val="Arial"/>
      </rPr>
      <t>uns</t>
    </r>
    <r>
      <rPr>
        <sz val="10"/>
        <rFont val="Arial"/>
      </rPr>
      <t xml:space="preserve"> eine Leistung die wir anbieten wollen)</t>
    </r>
  </si>
  <si>
    <t>Bezeichnung</t>
  </si>
  <si>
    <t>%</t>
  </si>
  <si>
    <t xml:space="preserve">€ in Tausend</t>
  </si>
  <si>
    <t>Zusatzauftrag:</t>
  </si>
  <si>
    <t>Materialeinzelkosten</t>
  </si>
  <si>
    <t>Löhne</t>
  </si>
  <si>
    <t>Materialgemeinkosten</t>
  </si>
  <si>
    <t>Fertigungsgemeinkosten</t>
  </si>
  <si>
    <t>Herstellkosten</t>
  </si>
  <si>
    <t>VerwaltungsGK</t>
  </si>
  <si>
    <t xml:space="preserve">als Basis die Herstellkosten verwenden !</t>
  </si>
  <si>
    <t>VertriebsGK</t>
  </si>
  <si>
    <t>Selbstkosten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</si>
</sst>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%"/>
  </numFmts>
  <fonts count="7">
    <font>
      <sz val="10.000000"/>
      <color theme="1"/>
      <name val="Arial"/>
    </font>
    <font>
      <sz val="10.000000"/>
      <name val="Arial"/>
    </font>
    <font>
      <b/>
      <sz val="10.000000"/>
      <name val="Arial"/>
    </font>
    <font>
      <b/>
      <sz val="10.000000"/>
      <color indexed="2"/>
      <name val="Arial"/>
    </font>
    <font>
      <sz val="10.000000"/>
      <color theme="0"/>
      <name val="Arial"/>
    </font>
    <font>
      <sz val="10.000000"/>
      <color indexed="65"/>
      <name val="Arial"/>
    </font>
    <font>
      <b/>
      <sz val="10.000000"/>
      <color indexed="65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theme="0" tint="-0.049989318521683403"/>
      </patternFill>
    </fill>
    <fill>
      <patternFill patternType="solid">
        <fgColor rgb="FFFFC000"/>
      </patternFill>
    </fill>
    <fill>
      <patternFill patternType="solid">
        <fgColor indexed="47"/>
      </patternFill>
    </fill>
    <fill>
      <patternFill patternType="solid">
        <fgColor indexed="42"/>
      </patternFill>
    </fill>
  </fills>
  <borders count="40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indexed="64"/>
      </left>
      <right style="medium">
        <color indexed="64"/>
      </right>
      <top style="none"/>
      <bottom style="medium">
        <color indexed="64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9" applyNumberFormat="1" applyFont="0" applyFill="0" applyBorder="0" applyProtection="0"/>
  </cellStyleXfs>
  <cellXfs count="70">
    <xf fontId="0" fillId="0" borderId="0" numFmtId="0" xfId="0"/>
    <xf fontId="2" fillId="2" borderId="0" numFmtId="0" xfId="0" applyFont="1" applyFill="1"/>
    <xf fontId="1" fillId="0" borderId="0" numFmtId="0" xfId="0" applyFont="1"/>
    <xf fontId="2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/>
    </xf>
    <xf fontId="2" fillId="0" borderId="3" numFmtId="0" xfId="0" applyFont="1" applyBorder="1" applyAlignment="1">
      <alignment horizontal="center"/>
    </xf>
    <xf fontId="2" fillId="0" borderId="4" numFmtId="0" xfId="0" applyFont="1" applyBorder="1" applyAlignment="1">
      <alignment horizontal="center"/>
    </xf>
    <xf fontId="3" fillId="0" borderId="0" numFmtId="0" xfId="0" applyFont="1"/>
    <xf fontId="2" fillId="0" borderId="0" numFmtId="0" xfId="0" applyFont="1"/>
    <xf fontId="2" fillId="0" borderId="5" numFmtId="0" xfId="0" applyFont="1" applyBorder="1" applyAlignment="1">
      <alignment horizontal="center" vertical="center"/>
    </xf>
    <xf fontId="2" fillId="0" borderId="6" numFmtId="0" xfId="0" applyFont="1" applyBorder="1" applyAlignment="1">
      <alignment horizontal="center"/>
    </xf>
    <xf fontId="2" fillId="0" borderId="7" numFmtId="0" xfId="0" applyFont="1" applyBorder="1" applyAlignment="1">
      <alignment horizontal="center"/>
    </xf>
    <xf fontId="2" fillId="0" borderId="8" numFmtId="0" xfId="0" applyFont="1" applyBorder="1" applyAlignment="1">
      <alignment horizontal="center"/>
    </xf>
    <xf fontId="1" fillId="0" borderId="9" numFmtId="0" xfId="0" applyFont="1" applyBorder="1" applyAlignment="1">
      <alignment horizontal="left"/>
    </xf>
    <xf fontId="1" fillId="0" borderId="1" numFmtId="0" xfId="0" applyFont="1" applyBorder="1"/>
    <xf fontId="1" fillId="0" borderId="10" numFmtId="0" xfId="0" applyFont="1" applyBorder="1"/>
    <xf fontId="1" fillId="0" borderId="11" numFmtId="0" xfId="0" applyFont="1" applyBorder="1"/>
    <xf fontId="1" fillId="0" borderId="12" numFmtId="0" xfId="0" applyFont="1" applyBorder="1"/>
    <xf fontId="2" fillId="0" borderId="0" numFmtId="1" xfId="0" applyNumberFormat="1" applyFont="1"/>
    <xf fontId="1" fillId="0" borderId="13" numFmtId="0" xfId="0" applyFont="1" applyBorder="1" applyAlignment="1">
      <alignment horizontal="left"/>
    </xf>
    <xf fontId="1" fillId="0" borderId="14" numFmtId="0" xfId="0" applyFont="1" applyBorder="1"/>
    <xf fontId="1" fillId="0" borderId="15" numFmtId="0" xfId="0" applyFont="1" applyBorder="1"/>
    <xf fontId="1" fillId="0" borderId="16" numFmtId="0" xfId="0" applyFont="1" applyBorder="1"/>
    <xf fontId="1" fillId="0" borderId="17" numFmtId="0" xfId="0" applyFont="1" applyBorder="1"/>
    <xf fontId="0" fillId="0" borderId="0" numFmtId="1" xfId="0" applyNumberFormat="1"/>
    <xf fontId="1" fillId="0" borderId="18" numFmtId="0" xfId="0" applyFont="1" applyBorder="1" applyAlignment="1">
      <alignment vertical="center" wrapText="1"/>
    </xf>
    <xf fontId="1" fillId="0" borderId="19" numFmtId="164" xfId="0" applyNumberFormat="1" applyFont="1" applyBorder="1"/>
    <xf fontId="1" fillId="0" borderId="20" numFmtId="164" xfId="0" applyNumberFormat="1" applyFont="1" applyBorder="1"/>
    <xf fontId="1" fillId="0" borderId="21" numFmtId="164" xfId="0" applyNumberFormat="1" applyFont="1" applyBorder="1"/>
    <xf fontId="1" fillId="0" borderId="22" numFmtId="164" xfId="0" applyNumberFormat="1" applyFont="1" applyBorder="1"/>
    <xf fontId="1" fillId="3" borderId="0" numFmtId="0" xfId="0" applyFont="1" applyFill="1"/>
    <xf fontId="1" fillId="0" borderId="23" numFmtId="0" xfId="0" applyFont="1" applyBorder="1" applyAlignment="1">
      <alignment vertical="center" wrapText="1"/>
    </xf>
    <xf fontId="0" fillId="0" borderId="0" numFmtId="0" xfId="0" applyAlignment="1">
      <alignment horizontal="left"/>
    </xf>
    <xf fontId="1" fillId="0" borderId="24" numFmtId="164" xfId="0" applyNumberFormat="1" applyFont="1" applyBorder="1"/>
    <xf fontId="1" fillId="0" borderId="16" numFmtId="164" xfId="0" applyNumberFormat="1" applyFont="1" applyBorder="1"/>
    <xf fontId="1" fillId="0" borderId="17" numFmtId="164" xfId="0" applyNumberFormat="1" applyFont="1" applyBorder="1"/>
    <xf fontId="2" fillId="0" borderId="25" numFmtId="0" xfId="0" applyFont="1" applyBorder="1" applyAlignment="1">
      <alignment horizontal="left"/>
    </xf>
    <xf fontId="4" fillId="0" borderId="19" numFmtId="0" xfId="0" applyFont="1" applyBorder="1"/>
    <xf fontId="1" fillId="0" borderId="20" numFmtId="1" xfId="0" applyNumberFormat="1" applyFont="1" applyBorder="1"/>
    <xf fontId="2" fillId="0" borderId="13" numFmtId="0" xfId="0" applyFont="1" applyBorder="1" applyAlignment="1">
      <alignment horizontal="left"/>
    </xf>
    <xf fontId="4" fillId="0" borderId="5" numFmtId="10" xfId="0" applyNumberFormat="1" applyFont="1" applyBorder="1"/>
    <xf fontId="1" fillId="0" borderId="24" numFmtId="9" xfId="0" applyNumberFormat="1" applyFont="1" applyBorder="1"/>
    <xf fontId="1" fillId="0" borderId="16" numFmtId="10" xfId="0" applyNumberFormat="1" applyFont="1" applyBorder="1"/>
    <xf fontId="2" fillId="0" borderId="0" numFmtId="0" xfId="0" applyFont="1" applyAlignment="1">
      <alignment horizontal="left"/>
    </xf>
    <xf fontId="5" fillId="0" borderId="0" numFmtId="10" xfId="0" applyNumberFormat="1" applyFont="1"/>
    <xf fontId="5" fillId="0" borderId="0" numFmtId="10" xfId="1" applyNumberFormat="1" applyFont="1"/>
    <xf fontId="0" fillId="0" borderId="0" numFmtId="0" xfId="0"/>
    <xf fontId="5" fillId="0" borderId="0" numFmtId="0" xfId="0" applyFont="1"/>
    <xf fontId="6" fillId="0" borderId="0" numFmtId="0" xfId="0" applyFont="1" applyAlignment="1">
      <alignment horizontal="left"/>
    </xf>
    <xf fontId="1" fillId="0" borderId="0" numFmtId="10" xfId="1" applyNumberFormat="1" applyFont="1"/>
    <xf fontId="2" fillId="0" borderId="26" numFmtId="0" xfId="0" applyFont="1" applyBorder="1" applyAlignment="1">
      <alignment horizontal="left"/>
    </xf>
    <xf fontId="2" fillId="0" borderId="27" numFmtId="0" xfId="0" applyFont="1" applyBorder="1"/>
    <xf fontId="2" fillId="0" borderId="28" numFmtId="0" xfId="0" applyFont="1" applyBorder="1"/>
    <xf fontId="1" fillId="4" borderId="0" numFmtId="0" xfId="0" applyFont="1" applyFill="1"/>
    <xf fontId="1" fillId="0" borderId="29" numFmtId="0" xfId="0" applyFont="1" applyBorder="1"/>
    <xf fontId="1" fillId="3" borderId="30" numFmtId="0" xfId="0" applyFont="1" applyFill="1" applyBorder="1"/>
    <xf fontId="1" fillId="0" borderId="31" numFmtId="165" xfId="0" applyNumberFormat="1" applyFont="1" applyBorder="1"/>
    <xf fontId="1" fillId="0" borderId="32" numFmtId="0" xfId="0" applyFont="1" applyBorder="1"/>
    <xf fontId="1" fillId="3" borderId="0" numFmtId="166" xfId="1" applyNumberFormat="1" applyFont="1" applyFill="1"/>
    <xf fontId="1" fillId="3" borderId="33" numFmtId="165" xfId="0" applyNumberFormat="1" applyFont="1" applyFill="1" applyBorder="1"/>
    <xf fontId="1" fillId="3" borderId="0" numFmtId="166" xfId="0" applyNumberFormat="1" applyFont="1" applyFill="1"/>
    <xf fontId="1" fillId="0" borderId="33" numFmtId="165" xfId="0" applyNumberFormat="1" applyFont="1" applyBorder="1"/>
    <xf fontId="1" fillId="3" borderId="34" numFmtId="166" xfId="1" applyNumberFormat="1" applyFont="1" applyFill="1" applyBorder="1"/>
    <xf fontId="1" fillId="3" borderId="35" numFmtId="165" xfId="0" applyNumberFormat="1" applyFont="1" applyFill="1" applyBorder="1"/>
    <xf fontId="2" fillId="5" borderId="32" numFmtId="0" xfId="0" applyFont="1" applyFill="1" applyBorder="1"/>
    <xf fontId="1" fillId="0" borderId="24" numFmtId="0" xfId="0" applyFont="1" applyBorder="1"/>
    <xf fontId="1" fillId="3" borderId="36" numFmtId="166" xfId="0" applyNumberFormat="1" applyFont="1" applyFill="1" applyBorder="1"/>
    <xf fontId="2" fillId="6" borderId="37" numFmtId="0" xfId="0" applyFont="1" applyFill="1" applyBorder="1"/>
    <xf fontId="1" fillId="3" borderId="38" numFmtId="166" xfId="0" applyNumberFormat="1" applyFont="1" applyFill="1" applyBorder="1"/>
    <xf fontId="1" fillId="3" borderId="39" numFmtId="165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interho" id="{7E0CD3F2-8107-4986-C458-E21410D2488C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7" personId="{7E0CD3F2-8107-4986-C458-E21410D2488C}" id="{00D50032-00EB-43C9-9E42-00B700F00064}" done="0">
    <text xml:space="preserve">Herstellkosten (HSK) = Materialeinzelkosten+Materialgemeinkosten+Fertigungseinzelkosten+Fertigungsgemeinkosten
</text>
  </threadedComment>
  <threadedComment ref="F17" personId="{7E0CD3F2-8107-4986-C458-E21410D2488C}" id="{00F20045-0010-482A-A558-008D00020057}" done="0">
    <text xml:space="preserve">Herstellkosten (HSK) = Materialeinzelkosten+Materialgemeinkosten+Fertigungseinzelkosten+Fertigungsgemeinkosten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30" workbookViewId="0">
      <selection activeCell="K28" activeCellId="0" sqref="K28"/>
    </sheetView>
  </sheetViews>
  <sheetFormatPr defaultColWidth="11.42578125" defaultRowHeight="12.75"/>
  <cols>
    <col customWidth="1" min="1" max="1" width="20"/>
    <col customWidth="1" min="2" max="2" width="9.140625"/>
    <col customWidth="1" min="3" max="3" width="14.28125"/>
    <col bestFit="1" customWidth="1" min="4" max="4" width="12.5703125"/>
    <col customWidth="1" min="8" max="8" width="14.42578125"/>
    <col bestFit="1" customWidth="1" min="9" max="9" width="13.85546875"/>
  </cols>
  <sheetData>
    <row r="1">
      <c r="A1" s="1" t="s">
        <v>0</v>
      </c>
      <c r="B1" s="1" t="s">
        <v>1</v>
      </c>
      <c r="C1" s="1"/>
      <c r="D1" s="1"/>
    </row>
    <row r="3">
      <c r="A3" s="2" t="s">
        <v>2</v>
      </c>
    </row>
    <row r="4" ht="13.5"/>
    <row r="5">
      <c r="A5" s="3" t="s">
        <v>3</v>
      </c>
      <c r="B5" s="3" t="s">
        <v>4</v>
      </c>
      <c r="C5" s="4" t="s">
        <v>5</v>
      </c>
      <c r="D5" s="5"/>
      <c r="E5" s="5"/>
      <c r="F5" s="6"/>
      <c r="G5" s="7" t="s">
        <v>6</v>
      </c>
      <c r="H5" s="7"/>
      <c r="I5" s="8"/>
    </row>
    <row r="6" ht="13.5">
      <c r="A6" s="9"/>
      <c r="B6" s="9"/>
      <c r="C6" s="10" t="s">
        <v>7</v>
      </c>
      <c r="D6" s="11" t="s">
        <v>8</v>
      </c>
      <c r="E6" s="11" t="s">
        <v>9</v>
      </c>
      <c r="F6" s="12" t="s">
        <v>10</v>
      </c>
    </row>
    <row r="7">
      <c r="A7" s="13" t="s">
        <v>11</v>
      </c>
      <c r="B7" s="14">
        <v>50</v>
      </c>
      <c r="C7" s="15">
        <f>B7</f>
        <v>50</v>
      </c>
      <c r="D7" s="16"/>
      <c r="E7" s="16"/>
      <c r="F7" s="17"/>
      <c r="G7" t="s">
        <v>12</v>
      </c>
      <c r="H7" s="8"/>
      <c r="I7" s="18"/>
    </row>
    <row r="8" ht="13.5">
      <c r="A8" s="19" t="s">
        <v>13</v>
      </c>
      <c r="B8" s="20">
        <v>80</v>
      </c>
      <c r="C8" s="21"/>
      <c r="D8" s="22">
        <f>B8</f>
        <v>80</v>
      </c>
      <c r="E8" s="22"/>
      <c r="F8" s="23"/>
      <c r="G8" t="s">
        <v>12</v>
      </c>
      <c r="I8" s="24"/>
    </row>
    <row r="9" ht="13.5">
      <c r="A9" s="25" t="s">
        <v>14</v>
      </c>
      <c r="B9" s="26">
        <v>40</v>
      </c>
      <c r="C9" s="27">
        <v>10</v>
      </c>
      <c r="D9" s="28">
        <v>15</v>
      </c>
      <c r="E9" s="28">
        <v>7.5</v>
      </c>
      <c r="F9" s="29">
        <v>7.5</v>
      </c>
      <c r="G9" s="30" t="s">
        <v>15</v>
      </c>
      <c r="I9" s="24"/>
    </row>
    <row r="10" ht="13.5">
      <c r="A10" s="25" t="s">
        <v>16</v>
      </c>
      <c r="B10" s="26">
        <v>20</v>
      </c>
      <c r="C10" s="27">
        <v>4</v>
      </c>
      <c r="D10" s="28">
        <v>10</v>
      </c>
      <c r="E10" s="28">
        <v>3</v>
      </c>
      <c r="F10" s="29">
        <v>3</v>
      </c>
      <c r="G10" s="30" t="s">
        <v>15</v>
      </c>
      <c r="H10" s="8"/>
      <c r="I10" s="18"/>
    </row>
    <row r="11" ht="13.5">
      <c r="A11" s="31" t="s">
        <v>17</v>
      </c>
      <c r="B11" s="26">
        <v>15</v>
      </c>
      <c r="C11" s="27">
        <v>6</v>
      </c>
      <c r="D11" s="28">
        <v>9</v>
      </c>
      <c r="E11" s="28"/>
      <c r="F11" s="29"/>
      <c r="G11" s="30" t="s">
        <v>15</v>
      </c>
    </row>
    <row r="12" ht="13.5">
      <c r="A12" s="31" t="s">
        <v>18</v>
      </c>
      <c r="B12" s="26">
        <v>10</v>
      </c>
      <c r="C12" s="27">
        <v>2</v>
      </c>
      <c r="D12" s="28">
        <v>7</v>
      </c>
      <c r="E12" s="28">
        <v>0.5</v>
      </c>
      <c r="F12" s="29">
        <v>0.5</v>
      </c>
      <c r="G12" s="30" t="s">
        <v>15</v>
      </c>
      <c r="I12" s="32"/>
    </row>
    <row r="13" ht="13.5">
      <c r="A13" s="31" t="s">
        <v>19</v>
      </c>
      <c r="B13" s="26">
        <v>30</v>
      </c>
      <c r="C13" s="27"/>
      <c r="D13" s="27"/>
      <c r="E13" s="28">
        <v>30</v>
      </c>
      <c r="F13" s="29"/>
      <c r="G13" s="30" t="s">
        <v>15</v>
      </c>
    </row>
    <row r="14" ht="13.5">
      <c r="A14" s="31" t="s">
        <v>20</v>
      </c>
      <c r="B14" s="26">
        <v>25</v>
      </c>
      <c r="C14" s="33"/>
      <c r="D14" s="34"/>
      <c r="E14" s="34"/>
      <c r="F14" s="35">
        <v>25</v>
      </c>
      <c r="G14" s="30" t="s">
        <v>15</v>
      </c>
    </row>
    <row r="15">
      <c r="A15" s="36" t="s">
        <v>21</v>
      </c>
      <c r="B15" s="37">
        <f>SUM(B9:B14)</f>
        <v>140</v>
      </c>
      <c r="C15" s="38">
        <f>SUM(C9:C14)</f>
        <v>22</v>
      </c>
      <c r="D15" s="38">
        <f>SUM(D9:D14)</f>
        <v>41</v>
      </c>
      <c r="E15" s="38">
        <f>SUM(E9:E14)</f>
        <v>41</v>
      </c>
      <c r="F15" s="38">
        <f>SUM(F9:F14)</f>
        <v>36</v>
      </c>
    </row>
    <row r="16">
      <c r="A16" s="36" t="s">
        <v>22</v>
      </c>
      <c r="B16" s="37">
        <f>SUM(B7:B8)</f>
        <v>130</v>
      </c>
      <c r="C16">
        <f>C7</f>
        <v>50</v>
      </c>
      <c r="D16">
        <f>D8</f>
        <v>80</v>
      </c>
      <c r="E16" s="24">
        <f>SUM(C15:D16)</f>
        <v>193</v>
      </c>
      <c r="F16" s="24">
        <f>SUM(C15:D16)</f>
        <v>193</v>
      </c>
    </row>
    <row r="17" ht="13.5">
      <c r="A17" s="39" t="s">
        <v>23</v>
      </c>
      <c r="B17" s="40">
        <f>B15/B16</f>
        <v>1.0769230769230769</v>
      </c>
      <c r="C17" s="41">
        <f>C15/C7</f>
        <v>0.44</v>
      </c>
      <c r="D17" s="42">
        <f>D15/D8</f>
        <v>0.51249999999999996</v>
      </c>
      <c r="E17" s="42">
        <f>E15/E16</f>
        <v>0.21243523316062177</v>
      </c>
      <c r="F17" s="42">
        <f>F15/F16</f>
        <v>0.18652849740932642</v>
      </c>
    </row>
    <row r="18">
      <c r="A18" s="43"/>
      <c r="B18" s="44"/>
      <c r="C18" s="45"/>
      <c r="D18" s="45"/>
      <c r="E18" s="45"/>
      <c r="F18" s="45"/>
      <c r="H18" s="46"/>
    </row>
    <row r="19">
      <c r="A19" s="47"/>
      <c r="B19" s="48" t="s">
        <v>24</v>
      </c>
      <c r="C19" s="44"/>
      <c r="D19" s="45"/>
      <c r="E19" s="45"/>
      <c r="F19" s="49"/>
      <c r="G19" s="49"/>
      <c r="H19" s="2"/>
      <c r="I19" s="2"/>
      <c r="J19" s="2"/>
    </row>
    <row r="20" ht="13.5">
      <c r="A20" s="2" t="s">
        <v>25</v>
      </c>
      <c r="B20" s="47"/>
      <c r="C20" s="47"/>
      <c r="E20" s="2"/>
      <c r="F20" s="2"/>
      <c r="G20" s="2"/>
      <c r="H20" s="2"/>
      <c r="I20" s="2"/>
      <c r="J20" s="2"/>
    </row>
    <row r="21" ht="13.5">
      <c r="A21" s="50" t="s">
        <v>26</v>
      </c>
      <c r="B21" s="51" t="s">
        <v>27</v>
      </c>
      <c r="C21" s="52" t="s">
        <v>28</v>
      </c>
      <c r="D21" s="47" t="s">
        <v>29</v>
      </c>
      <c r="E21" s="2"/>
      <c r="F21" s="30" t="s">
        <v>7</v>
      </c>
      <c r="G21" s="53">
        <v>8</v>
      </c>
      <c r="I21" s="2"/>
      <c r="J21" s="2"/>
    </row>
    <row r="22">
      <c r="A22" s="54" t="s">
        <v>30</v>
      </c>
      <c r="B22" s="55"/>
      <c r="C22" s="56">
        <v>8</v>
      </c>
      <c r="D22" s="47"/>
      <c r="E22" s="2"/>
      <c r="F22" s="30" t="s">
        <v>31</v>
      </c>
      <c r="G22" s="53">
        <v>5</v>
      </c>
      <c r="I22" s="2"/>
      <c r="J22" s="2"/>
    </row>
    <row r="23">
      <c r="A23" s="57" t="s">
        <v>32</v>
      </c>
      <c r="B23" s="58">
        <f>C17</f>
        <v>0.44</v>
      </c>
      <c r="C23" s="59">
        <f>C22*B23</f>
        <v>3.52</v>
      </c>
      <c r="D23" s="47"/>
      <c r="E23" s="47"/>
      <c r="F23" s="47"/>
      <c r="G23" s="47"/>
    </row>
    <row r="24">
      <c r="A24" s="57" t="s">
        <v>13</v>
      </c>
      <c r="B24" s="60"/>
      <c r="C24" s="61">
        <v>5</v>
      </c>
      <c r="D24" s="47"/>
      <c r="E24" s="47"/>
      <c r="F24" s="47"/>
      <c r="G24" s="47"/>
    </row>
    <row r="25">
      <c r="A25" s="57" t="s">
        <v>33</v>
      </c>
      <c r="B25" s="62">
        <f>D17</f>
        <v>0.51249999999999996</v>
      </c>
      <c r="C25" s="63">
        <f>C24*B25</f>
        <v>2.5625</v>
      </c>
      <c r="D25" s="47"/>
      <c r="E25" s="47"/>
      <c r="F25" s="47"/>
      <c r="G25" s="47"/>
    </row>
    <row r="26">
      <c r="A26" s="64" t="s">
        <v>34</v>
      </c>
      <c r="B26" s="60"/>
      <c r="C26" s="59">
        <f>SUM(C22:C25)</f>
        <v>19.0825</v>
      </c>
      <c r="D26" s="47"/>
      <c r="E26" s="47"/>
      <c r="F26" s="47"/>
      <c r="G26" s="47"/>
    </row>
    <row r="27">
      <c r="A27" s="57" t="s">
        <v>35</v>
      </c>
      <c r="B27" s="60">
        <f>E17</f>
        <v>0.21243523316062177</v>
      </c>
      <c r="C27" s="59">
        <f>C26*B27</f>
        <v>4.053795336787565</v>
      </c>
      <c r="D27" s="2" t="s">
        <v>36</v>
      </c>
      <c r="E27" s="47"/>
      <c r="F27" s="47"/>
      <c r="G27" s="47"/>
    </row>
    <row r="28">
      <c r="A28" s="65" t="s">
        <v>37</v>
      </c>
      <c r="B28" s="66">
        <f>F17</f>
        <v>0.18652849740932642</v>
      </c>
      <c r="C28" s="63">
        <f>C26*B28</f>
        <v>3.5594300518134712</v>
      </c>
      <c r="D28" s="2" t="s">
        <v>36</v>
      </c>
      <c r="E28" s="47"/>
      <c r="F28" s="47"/>
      <c r="G28" s="47"/>
      <c r="I28" s="32"/>
    </row>
    <row r="29" ht="13.5">
      <c r="A29" s="67" t="s">
        <v>38</v>
      </c>
      <c r="B29" s="68"/>
      <c r="C29" s="69">
        <f>SUM(C26:C28)</f>
        <v>26.695725388601037</v>
      </c>
      <c r="D29" s="47"/>
      <c r="E29" s="47"/>
      <c r="F29" s="47"/>
      <c r="G29" s="47"/>
    </row>
  </sheetData>
  <mergeCells count="3">
    <mergeCell ref="A5:A6"/>
    <mergeCell ref="B5:B6"/>
    <mergeCell ref="C5:F5"/>
  </mergeCells>
  <printOptions headings="0" gridLines="0"/>
  <pageMargins left="0.75" right="0.75" top="1" bottom="1" header="0.49212598449999995" footer="0.49212598449999995"/>
  <pageSetup paperSize="9" scale="100" fitToWidth="1" fitToHeight="1" pageOrder="downThenOver" orientation="landscape" usePrinterDefaults="1" blackAndWhite="0" draft="0" cellComments="none" useFirstPageNumber="0" errors="displayed" horizontalDpi="200" verticalDpi="2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11.42578125" defaultRowHeight="12.75"/>
  <sheetData/>
  <printOptions headings="0" gridLines="0"/>
  <pageMargins left="0.75" right="0.75" top="1" bottom="1" header="0.49212598449999995" footer="0.4921259844999999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11.42578125" defaultRowHeight="12.75"/>
  <sheetData/>
  <printOptions headings="0" gridLines="0"/>
  <pageMargins left="0.75" right="0.75" top="1" bottom="1" header="0.49212598449999995" footer="0.4921259844999999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FH 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revision>1</cp:revision>
  <dcterms:created xsi:type="dcterms:W3CDTF">2007-04-19T08:43:38Z</dcterms:created>
  <dcterms:modified xsi:type="dcterms:W3CDTF">2026-04-12T20:21:27Z</dcterms:modified>
</cp:coreProperties>
</file>